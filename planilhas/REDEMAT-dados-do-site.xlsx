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Docentes" sheetId="2" state="visible" r:id="rId4"/>
    <sheet name="Disciplinas" sheetId="3" state="visible" r:id="rId5"/>
  </sheets>
  <definedNames>
    <definedName function="false" hidden="true" localSheetId="2" name="_xlnm._FilterDatabase" vbProcedure="false">Disciplinas!$A$1:$K$40</definedName>
    <definedName function="false" hidden="true" localSheetId="1" name="_xlnm._FilterDatabase" vbProcedure="false">Docentes!$A$1:$I$25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<sst xmlns="http://schemas.openxmlformats.org/spreadsheetml/2006/main" count="484" uniqueCount="275">
  <si>
    <t xml:space="preserve">REDEMAT — planilha de manutenção do portal</t>
  </si>
  <si>
    <t xml:space="preserve">Como usar</t>
  </si>
  <si>
    <t xml:space="preserve">Edite apenas as células de fundo amarelo. As de texto cinza vêm de outra fonte (coleta CAPES, Lattes, proposta APCN) e são sobrescritas na próxima atualização automática — alterá-las aqui não tem efeito.</t>
  </si>
  <si>
    <t xml:space="preserve">Depois de editar</t>
  </si>
  <si>
    <t xml:space="preserve">Salve o arquivo e avise: o script scripts/planilha-para-dados.py devolve o conteúdo para os arquivos que o portal lê. Enquanto isso não for feito, o site continua mostrando o conteúdo antigo.</t>
  </si>
  <si>
    <t xml:space="preserve">Linha de exemplo</t>
  </si>
  <si>
    <t xml:space="preserve">A primeira linha de dados de cada aba traz valores reais, não fictícios. Não existe linha de exemplo a apagar.</t>
  </si>
  <si>
    <t xml:space="preserve">Não publicar</t>
  </si>
  <si>
    <t xml:space="preserve">Nunca inclua CPF, telefone pessoal, endereço residencial, e-mail de discente ou qualquer pontuação individual por docente. A planilha é insumo de um site público.</t>
  </si>
  <si>
    <t xml:space="preserve">Abas</t>
  </si>
  <si>
    <t xml:space="preserve">Docentes</t>
  </si>
  <si>
    <t xml:space="preserve">Quadro atual. As colunas de site pessoal, site do grupo e nome do grupo são para preencher — o portal só mostra o que estiver aqui.</t>
  </si>
  <si>
    <t xml:space="preserve">Disciplinas</t>
  </si>
  <si>
    <t xml:space="preserve">Estrutura curricular: nome, carga, créditos, ementa, referências e docentes responsáveis.</t>
  </si>
  <si>
    <t xml:space="preserve">Conferência</t>
  </si>
  <si>
    <t xml:space="preserve">Docentes na planilha</t>
  </si>
  <si>
    <t xml:space="preserve">Com site pessoal informado</t>
  </si>
  <si>
    <t xml:space="preserve">Com site de grupo informado</t>
  </si>
  <si>
    <t xml:space="preserve">Disciplinas na planilha</t>
  </si>
  <si>
    <t xml:space="preserve">Soma de créditos do catálogo</t>
  </si>
  <si>
    <t xml:space="preserve">Nome</t>
  </si>
  <si>
    <t xml:space="preserve">ID Lattes</t>
  </si>
  <si>
    <t xml:space="preserve">IES</t>
  </si>
  <si>
    <t xml:space="preserve">Categoria</t>
  </si>
  <si>
    <t xml:space="preserve">No quadro</t>
  </si>
  <si>
    <t xml:space="preserve">Site pessoal</t>
  </si>
  <si>
    <t xml:space="preserve">Site do grupo</t>
  </si>
  <si>
    <t xml:space="preserve">Nome do grupo</t>
  </si>
  <si>
    <t xml:space="preserve">Observação</t>
  </si>
  <si>
    <t xml:space="preserve">Alan Barros de Oliveira</t>
  </si>
  <si>
    <t xml:space="preserve">2373454332205980</t>
  </si>
  <si>
    <t xml:space="preserve">UFOP</t>
  </si>
  <si>
    <t xml:space="preserve">Permanente</t>
  </si>
  <si>
    <t xml:space="preserve">sim</t>
  </si>
  <si>
    <t xml:space="preserve">Américo Tristão Bernardes</t>
  </si>
  <si>
    <t xml:space="preserve">1219153096910234</t>
  </si>
  <si>
    <t xml:space="preserve">Ana Paula Moreira Barboza</t>
  </si>
  <si>
    <t xml:space="preserve">4012812193989993</t>
  </si>
  <si>
    <t xml:space="preserve">Antônio Valadão Cardoso</t>
  </si>
  <si>
    <t xml:space="preserve">4629729793297288</t>
  </si>
  <si>
    <t xml:space="preserve">UEMG</t>
  </si>
  <si>
    <t xml:space="preserve">Colaborador</t>
  </si>
  <si>
    <t xml:space="preserve">Claudio Gouvea dos Santos</t>
  </si>
  <si>
    <t xml:space="preserve">7624637352404779</t>
  </si>
  <si>
    <t xml:space="preserve">Dalila Chaves Sicupira</t>
  </si>
  <si>
    <t xml:space="preserve">2402619959878318</t>
  </si>
  <si>
    <t xml:space="preserve">Eliane Ayres</t>
  </si>
  <si>
    <t xml:space="preserve">1370798140664840</t>
  </si>
  <si>
    <t xml:space="preserve">Fernando Gabriel da Silva Araújo</t>
  </si>
  <si>
    <t xml:space="preserve">8915679278888857</t>
  </si>
  <si>
    <t xml:space="preserve">Geraldo Lúcio de Faria</t>
  </si>
  <si>
    <t xml:space="preserve">0954824992144106</t>
  </si>
  <si>
    <t xml:space="preserve">Heloisa Nazaré dos Santos</t>
  </si>
  <si>
    <t xml:space="preserve">7238982117122755</t>
  </si>
  <si>
    <t xml:space="preserve">UEMG, UFOP</t>
  </si>
  <si>
    <t xml:space="preserve">Hugo Bonette de Carvalho</t>
  </si>
  <si>
    <t xml:space="preserve">1642083834158700</t>
  </si>
  <si>
    <t xml:space="preserve">Ive Silvestre de Almeida</t>
  </si>
  <si>
    <t xml:space="preserve">8756368667136851</t>
  </si>
  <si>
    <t xml:space="preserve">Johne Jesus Mol Peixoto</t>
  </si>
  <si>
    <t xml:space="preserve">7172124269609011</t>
  </si>
  <si>
    <t xml:space="preserve">Leonardo Barbosa Godefroid</t>
  </si>
  <si>
    <t xml:space="preserve">1995142616892313</t>
  </si>
  <si>
    <t xml:space="preserve">Marcelo Gomes Speziali</t>
  </si>
  <si>
    <t xml:space="preserve">7307092459450276</t>
  </si>
  <si>
    <t xml:space="preserve">https://professor-marcelo.com/</t>
  </si>
  <si>
    <t xml:space="preserve">Endereço também citado nas referências das disciplinas de Inovação Tecnológica da proposta APCN.</t>
  </si>
  <si>
    <t xml:space="preserve">Matheus Josué de Souza Matos</t>
  </si>
  <si>
    <t xml:space="preserve">6221953730638193</t>
  </si>
  <si>
    <t xml:space="preserve">http://professor.ufop.br/matheusmatos</t>
  </si>
  <si>
    <t xml:space="preserve">https://nano.ufop.br/</t>
  </si>
  <si>
    <t xml:space="preserve">Nome do grupo a confirmar com o docente antes de publicar.</t>
  </si>
  <si>
    <t xml:space="preserve">Paulo Santos Assis</t>
  </si>
  <si>
    <t xml:space="preserve">7360474381329605</t>
  </si>
  <si>
    <t xml:space="preserve">Rita de Castro Engler</t>
  </si>
  <si>
    <t xml:space="preserve">1848076566428564</t>
  </si>
  <si>
    <t xml:space="preserve">Rodrigo Fernando Bianchi</t>
  </si>
  <si>
    <t xml:space="preserve">0576192110271130</t>
  </si>
  <si>
    <t xml:space="preserve">Rodrigo Rangel Porcaro</t>
  </si>
  <si>
    <t xml:space="preserve">3405298711596512</t>
  </si>
  <si>
    <t xml:space="preserve">Taíse Matte Manhabosco</t>
  </si>
  <si>
    <t xml:space="preserve">9945942332231660</t>
  </si>
  <si>
    <t xml:space="preserve">Thiago Cazati</t>
  </si>
  <si>
    <t xml:space="preserve">0873693558323059</t>
  </si>
  <si>
    <t xml:space="preserve">Versiane Albis Leão</t>
  </si>
  <si>
    <t xml:space="preserve">4062848906639188</t>
  </si>
  <si>
    <t xml:space="preserve">Víctor de Andrade Alvarenga Oliveira</t>
  </si>
  <si>
    <t xml:space="preserve">9004123547060623</t>
  </si>
  <si>
    <t xml:space="preserve">Código</t>
  </si>
  <si>
    <t xml:space="preserve">Horas</t>
  </si>
  <si>
    <t xml:space="preserve">Créditos</t>
  </si>
  <si>
    <t xml:space="preserve">Grupo</t>
  </si>
  <si>
    <t xml:space="preserve">Área</t>
  </si>
  <si>
    <t xml:space="preserve">Linha</t>
  </si>
  <si>
    <t xml:space="preserve">Docentes responsáveis</t>
  </si>
  <si>
    <t xml:space="preserve">Ementa</t>
  </si>
  <si>
    <t xml:space="preserve">Referências</t>
  </si>
  <si>
    <t xml:space="preserve">Status</t>
  </si>
  <si>
    <t xml:space="preserve">4.1</t>
  </si>
  <si>
    <t xml:space="preserve">Fundamentos de Ciências e Engenharia de Materiais</t>
  </si>
  <si>
    <t xml:space="preserve">Núcleo comum</t>
  </si>
  <si>
    <t xml:space="preserve">Matheus Josué de Souza Matos; Geraldo Lúcio de Faria; Taíse Matte Manhabosco; Thiago Cazati; Fernado Gabriel; Eliane Ayres</t>
  </si>
  <si>
    <t xml:space="preserve">Relações entre processamento, estrutura, propriedades e desempenho de materiais. Estrutura atômica e ligações. Estruturas cristalinas e amorfas; defeitos pontuais, lineares, planares e interfaces. Difusão. Diagramas de fases e fundamentos de transformações. Introdução às propriedades mecânicas, térmicas, elétricas, magnéticas e ópticas. Visão comparativa de metais, cerâmicos, polímeros, compósitos e materiais funcionais. Seleção de materiais e relação com requisitos de engenharia, sustentabilidade e ciclo de vida. Estudos de caso integrando estrutura, processamento, propriedades e aplicação</t>
  </si>
  <si>
    <t xml:space="preserve">CALLISTER, W. D.; RETHWISCH, D. G. Materials Science and Engineering: An Introduction. Wiley. ASHBY, M. F.; JONES, D. R. H. Engineering Materials 1: An Introduction to Properties, Applications and Design. Elsevier. SHACKELFORD, J. F. Introduction to Materials Science for Engineers. Pearson. ASKELAND, D. R.; WRIGHT, W. J. The Science and Engineering of Materials. Cengage. Artigos de revisão recentes selecionados conforme os estudos de caso</t>
  </si>
  <si>
    <t xml:space="preserve">VALIDADO</t>
  </si>
  <si>
    <t xml:space="preserve">4.2</t>
  </si>
  <si>
    <t xml:space="preserve">Caracterização de Materiais e Técnicas Instrumentais</t>
  </si>
  <si>
    <t xml:space="preserve">Fernando Gabriel da Silva Araújo; Ana Paula Moreira Barboza; Thiago Cazati; Hugo Bonette de Carvalho; Geraldo Lúcio de Faria</t>
  </si>
  <si>
    <t xml:space="preserve">Estratégias de caracterização multiescala e seleção de técnicas em função do problema científico. Difração de raios X e noções de análise estrutural e de fases. Microscopia óptica, eletrônica de varredura e transmissão; microanálise por raios X. Microscopia de força atômica e técnicas de sonda local. Espectroscopias vibracionais e eletrônicas. Análises térmicas. Técnicas de superfície. Medidas de propriedades elétricas, magnéticas, mecânicas e físico-químicas. Preparação de amostras, resolução, sensibilidade, incerteza, artefatos e correlação entre técnicas. Introdução a métodos in situ/operando e tratamento quantitativo de dados instrumentais</t>
  </si>
  <si>
    <t xml:space="preserve">LENG, Y. Materials Characterization: Introduction to Microscopic and Spectroscopic Methods. Wiley. GOLDSTEIN, J. et al. Scanning Electron Microscopy and X-Ray Microanalysis. Springer. CULLITY, B. D.; STOCK, S. R. Elements of X-Ray Diffraction. Pearson. SKOOG, D. A.; HOLLER, F. J.; CROUCH, S. R. Principles of Instrumental Analysis. Cengage. ASM Handbook, Volume 10: Materials Characterization. ASM International</t>
  </si>
  <si>
    <t xml:space="preserve">4.3</t>
  </si>
  <si>
    <t xml:space="preserve">Métodos Estatísticos e Planejamento Experimental</t>
  </si>
  <si>
    <t xml:space="preserve">Américo Tristão Bernardes; Alan Barros de Oliveira</t>
  </si>
  <si>
    <t xml:space="preserve">Teoria da probabilidade. Variáveis aleatórias e distribuições de probabilidade. Estimação, intervalos de confiança e testes de hipóteses. Regressão linear e múltipla, diagnóstico de modelos e análise de variância. Planejamento de experimentos. Experimentos fatoriais. Aplicações em processamento, caracterização e desenvolvimento de materiais com uso de ferramentas computacionais e conjuntos de dados reais</t>
  </si>
  <si>
    <t xml:space="preserve">WALPOLE, R.R.; MYERS, R.H.; MYERS, S.L.; YE, K. Probabilidade e Estatística para Engenharia e Ciências. Pearson Prentice Hall. MONTGOMERY, D. C.; RUNGER, G. C. Applied Statistics and Probability for Engineers. Wiley. MONTGOMERY, D. C. Design and Analysis of Experiments. Wiley. BOX, G. E. P.; HUNTER, J. S.; HUNTER, W. G. Statistics for Experimenters: Design, Innovation, and Discovery. Wiley. WASSERMAN, L. All of Statistics: A Concise Course in Statistical Inference. Springer</t>
  </si>
  <si>
    <t xml:space="preserve">4.4</t>
  </si>
  <si>
    <t xml:space="preserve">Metodologia da Pesquisa Científica</t>
  </si>
  <si>
    <t xml:space="preserve">Versiane Albis Leão; Américo Tristão; Dalila Chaves Sicupira</t>
  </si>
  <si>
    <t xml:space="preserve">Natureza da pesquisa científica e tecnológica em Engenharia. Formulação de problema, hipótese, pergunta de pesquisa e objetivos. Estado da arte e revisão crítica da literatura; estratégias de busca, bases bibliográficas e rastreabilidade. Desenho metodológico, validação, reprodutibilidade, incerteza e gestão de dados. Integridade científica, autoria, plágio, conflitos de interesse, ética e uso responsável de ferramentas de inteligência artificial. Estrutura de projetos, dissertações, teses e artigos. Comunicação científica, revisão por pares, ciência aberta, dados FAIR e repositórios. Planejamento de pesquisa, cronograma, riscos e documentação</t>
  </si>
  <si>
    <t xml:space="preserve">BOOTH, W. C. et al. The Craft of Research. University of Chicago Press. DAY, R. A.; GASTEL, B. How to Write and Publish a Scientific Paper. Cambridge University Press. NATIONAL ACADEMIES. On Being a Scientist: A Guide to Responsible Conduct in Research. National Academies Press. ALLEY, M. The Craft of Scientific Writing. Springer. Azevedo, I. B. O prazer da Produção Científica. 10ed. São Paulo: Hagnos. 2000. 264p. Severino, A. J. Metodologia do Trabalho Científico. 22ed. São Paulo: Cortez, 2002. 335p. Marconi, M. A.; Lakatos, E. M. Fundamentos de metodologia científica. 5ed. São Paulo: Atlas 2003. 311p</t>
  </si>
  <si>
    <t xml:space="preserve">4.5</t>
  </si>
  <si>
    <t xml:space="preserve">Seminários em Ciências e Engenharia de Materiais</t>
  </si>
  <si>
    <t xml:space="preserve">Seminários científicos ministrados por discentes, docentes e pesquisadores convidados. Leitura e discussão crítica de artigos, teses, revisões e casos tecnológicos relacionados às áreas e linhas do Programa. Formulação de perguntas científicas, argumentação, comunicação oral, construção de figuras e narrativas técnico-científicas. Discussão de reprodutibilidade, limitações metodológicas, impacto e perspectivas. Apresentação do projeto do discente e de resultados parciais em formato compatível com eventos científicos</t>
  </si>
  <si>
    <t xml:space="preserve">Bibliografia variável, definida a cada oferta a partir de artigos originais, revisões de alto impacto e documentos técnicos recentes vinculados aos temas dos seminários. Como apoio: ALLEY, M. The Craft of Scientific Presentations. Springer; BOOTH, W. C. et al. The Craft of Research. University of Chicago Press</t>
  </si>
  <si>
    <t xml:space="preserve">4.6</t>
  </si>
  <si>
    <t xml:space="preserve">Fundamentos em Inovação Tecnológica – Patentes</t>
  </si>
  <si>
    <t xml:space="preserve">Patentes — Marcelo Gomes Speziali; gestão; tecnologias e mercado— Marcelo Gomes Speziali; Rodrigo Bianchi; Rita de Castro Engler</t>
  </si>
  <si>
    <t xml:space="preserve">Este curso apresenta um panorama atualizado do arcabouço legal que fundamenta o sistema de propriedade industrial, destacando a relevância das patentes no processo de decisão empresarial e acadêmico, bem como as formas de proteção de criações técnicas. Aborda a elaboração e tramitação de documentos de patente, desde a definição de critérios de patenteabilidade até a estrutura do relatório descritivo, além do uso de patentes como fonte de informação científica e tecnológica. O conteúdo foca especificamente as áreas das ciências duras e deeptechs, tratando de tipos de proteção intelectual, diferenças entre invenções e descobertas, estratégias de publicação versus proteção, custos e royalties de tecnologias, bem como processos de depósito nacional e internacional (PCT), ilustrados por estudos de caso. A disciplina aborda também questões relacionadas à gestão da inovação e sua relação com a propriedade intelectual</t>
  </si>
  <si>
    <t xml:space="preserve">Instituto Dannemann Siemsen de Estudos Jurídicos e Técnicos. (2013). Comentários à lei da propriedade industrial (3ª ed.). Rio de Janeiro, Brasil: Renovar. Grubb, P. W., Thomsen, P. R., &amp; Hope, T. (2010). Patents for chemicals, pharmaceuticals, and biotechnology: Fundamentals of global law, practice, and strategy (5th ed.). Oxford, England: Oxford University Press. Pressman, D., Stim, R. (2015). Nolo's Patents for Beginners: Quick &amp; Legal. Estados Unidos: NOLO. Pressman, D. (2011). The chemist's companion guide to patent law. Hoboken, NJ: Wiley. Waller, F. J. (2011). Writing Chemistry Patents and Intellectual Property: A Practical Guide. Alemanha: Wiley. Junghans, C., Levy, A., Sander, R., Boeckh, T., Heerma, J. D., Regierer, C. (2008). Intellectual Property Management: A Guide for Scientists, Engineers, Financiers, and Managers. Alemanha: Wiley. Material disponível no site http://professor-marcelo.com</t>
  </si>
  <si>
    <t xml:space="preserve">4.7</t>
  </si>
  <si>
    <t xml:space="preserve">Fundamentos em Inovação tecnológica - Gestão, Tecnologias e Mercado</t>
  </si>
  <si>
    <t xml:space="preserve">A disciplina Fundamentos da Inovação Tecnológica: Gestão, Tecnologias e Estratégias de Mercado tem como objetivo capacitar estudantes de pós-graduação das áreas de ciências exatas, biológicas e engenharias a compreenderem os principais conceitos, modelos e ferramentas relacionados à inovação tecnológica, desde sua fundamentação teórica até sua aplicação prática no mercado. Serão abordados temas como ciência básica e pesquisa aplicada, modelos lineares e não lineares de inovação, escalas de maturidade (TRL e IRL), transferência de tecnologia, propriedade intelectual, estratégias de negócios (B2B, B2C, B2G), economia circular, inovação orientada à missão, além de políticas públicas e ecossistemas de inovação. A disciplina também promove o desenvolvimento de competências para atuar em ambientes interdisciplinares e inovadores, com ênfase na sustentabilidade, escalabilidade e impacto da ciência na sociedade</t>
  </si>
  <si>
    <t xml:space="preserve">Material das aulas disponível no site do Professor: http://professor-marcelo.com. Speziali, M.G. Fundamentos de Patentes para Estudantes dos Cursos de Química, Farmácia e Engenharia Química,1 Ed. (2019), Ed. Do Autor. (E-book). Organização para a Cooperação e Desenvolvimento Econômico – OCDE. Manual de Oslo: diretrizes para coleta e interpretação de dados sobre inovação. 4. ed. Brasília: Finep, 2018. Brasil. (2004). Lei nº 10.973, de 2 de dezembro de 2004. Dispõe sobre incentivos à inovação e à pesquisa científica e tecnológica no ambiente produtivo e dá outras providências. Diário Oficial da União https://www.planalto.gov.br/ccivil_03/_ato2004-2006/2004/lei/l10.973.htm e Brasil. (2016). Lei nº 13.243, de 11 de janeiro de 2016. Dispõe sobre estímulos ao desenvolvimento científico, à pesquisa, à capacitação científica e tecnológica e à inovação. Diário Oficial da União. https://www.planalto.gov.br/ccivil_03/_ato2015-2018/2016/lei/l13243.htm</t>
  </si>
  <si>
    <t xml:space="preserve">4.8</t>
  </si>
  <si>
    <t xml:space="preserve">Tópicos Avançados em Ciências e Engenharia de Materiais I</t>
  </si>
  <si>
    <t xml:space="preserve">Estudo aprofundado de tema emergente ou de fronteira em Ciência, Engenharia, Processamento ou Tecnologia de Materiais, não contemplado de forma suficiente pelas disciplinas regulares. O conteúdo será definido para cada oferta, com delimitação do problema, fundamentos, métodos, estado da arte, aplicações, limitações e perspectivas</t>
  </si>
  <si>
    <t xml:space="preserve">Plano bibliográfico específico aprovado para cada oferta, contendo referências fundamentais quando necessárias e um conjunto majoritário de artigos, revisões, normas ou documentos técnicos recentes e diretamente relacionados ao tema.8.5. Ementas e referências — Área 1, Linha 1.1: Processamento, Manufatura e Engenharia de Superfícies</t>
  </si>
  <si>
    <t xml:space="preserve">4.9</t>
  </si>
  <si>
    <t xml:space="preserve">Tópicos Avançados em Ciências e Engenharia de Materiais II</t>
  </si>
  <si>
    <t xml:space="preserve">4.10</t>
  </si>
  <si>
    <t xml:space="preserve">Tópicos Avançados em Ciências e Engenharia de Materiais III</t>
  </si>
  <si>
    <t xml:space="preserve">5.1</t>
  </si>
  <si>
    <t xml:space="preserve">Processamento e Transformação de Materiais</t>
  </si>
  <si>
    <t xml:space="preserve">Área 1, Linha 1.1</t>
  </si>
  <si>
    <t xml:space="preserve">Processamento, Estrutura e Desempenho de Materiais</t>
  </si>
  <si>
    <t xml:space="preserve">Processamento, Manufatura e Engenharia de Superfícies</t>
  </si>
  <si>
    <t xml:space="preserve">Geraldo Lúcio de Faria; Fernando Gabriel da Silva Araújo; Rodrigo Porcaro</t>
  </si>
  <si>
    <t xml:space="preserve">Fundamentos comuns aos processos de transformação de materiais: termodinâmica, cinética, transporte de calor e massa e evolução microestrutural. Solidificação, conformação, sinterização, processamento de pós, rotas de processamento de polímeros e compósitos e processamento de materiais avançados. Relações processo–estrutura–propriedade. Seleção de rota, janelas de processamento, defeitos, eficiência energética, controle de processo e escalonamento. Integração entre processamento convencional, manufatura avançada e caracterização</t>
  </si>
  <si>
    <t xml:space="preserve">GROOVER, M. P. Fundamentals of Modern Manufacturing: Materials, Processes, and Systems. Wiley. KALPAKJIAN, S.; SCHMID, S. Manufacturing Engineering and Technology. Pearson. ASM Handbook, volumes de processamento e fabricação. CALLISTER, W. D.; RETHWISCH, D. G. Materials Science and Engineering: An Introduction. Wiley</t>
  </si>
  <si>
    <t xml:space="preserve">5.2</t>
  </si>
  <si>
    <t xml:space="preserve">Processos Metalúrgicos e Tecnologias de Fabricação</t>
  </si>
  <si>
    <t xml:space="preserve">Paulo Santos Assis; Víctor de Andrade Alvarenga Oliveira; Johne Jesus Mol Peixoto; Rodrigo Rangel Porcaro</t>
  </si>
  <si>
    <t xml:space="preserve">Visão integrada de rotas metalúrgicas e tecnologias de fabricação de metais. Processos de extração, refino e solidificação. Fundamentos termodinâmicos dos processos. Fenômenos de transporte e reações relevantes. Aspectos de modelagem de processo, eficiência energética e descarbonização. Integração de rotas primárias e secundárias na produção de metais. Estudos de caso em siderurgia e metais não ferrosos</t>
  </si>
  <si>
    <t xml:space="preserve">ROSENQVIST, T. Principles of Extractive Metallurgy, 2nd Edition, Akademika Publishing, 2004. GROOVER, M. P. Fundamentals of Modern Manufacturing. Wiley, 6ª ed., 2015, 944p. ASM Handbook, volumes 1, 2 , 3, e 22, conforme o tópico. GASKELL, D.R. An Introduction to Transport Phenomena in Materials Engineering, McMillan; 1992. GHOSH, A &amp;amp; CHATTERJEE, A. Iron and Steelmaking: Theory and Practice. Ed. PHI 2011. Ballester, L. F. Verdeja, J. Sancho. Metalurgia Extractiva 1 (Fundamentos), Editorial Síntesis, 2000. Artigos técnicos</t>
  </si>
  <si>
    <t xml:space="preserve">5.3</t>
  </si>
  <si>
    <t xml:space="preserve">Tratamentos Térmicos de Metais</t>
  </si>
  <si>
    <t xml:space="preserve">Introdução às Transformações de fases; sistema Fe-C; constituintes do aço resfriado lentamente; introdução à cinética de transformação de fases; diagramas TTT; diagramas TRC; Introdução à austenita; diagramas TAC e TTT de austenitização; crescimento de grão austenítico; métodos para revelação do grão austenítico prévio; Ferrita e Perlita; Bainita e Martensita; Recozimento de Recristalização: estrutura do metal encruado; alteração de propriedades físicas; recuperação ou restauração; poligonização; recristalização primária; recristalização secundária; Tratamentos Térmicos Convencionais: Recozimento; normalização; têmpera; revenimento; coalescimento; martêmpera; austêmpera; patenteamento; têmpera e partição; Tratamentos Térmicos Superficiais: Têmpera superficial; cementação; nitretação; cianetação ou carbonitretação líquida; carbonitretação; nitrocarbonetação; boretação; termoreação; Introdução aos Tratamentos Termomecânicos: Ausforming; Isoforming; Maraging; laminação controlada; Ligas não ferrosas: Principais ligas não ferrosas; alumínio e suas ligas; cobre e suas ligas; níquel e suas ligas; titânio e suas ligas</t>
  </si>
  <si>
    <t xml:space="preserve">COTA, A. B., FARIA G. L. Tratamentos Térmicos: Fundamentos e Aplicações em Metais e Ligas. E-book. 2026. CHRISTIAN, J. W. The Theory of Transformations in Metals and Alloys. An Advanced. Textbook in Physical Metallurgy. 2nd edition. 1981. PORTER, D. A.; EASTERLIN, K. E.; SHERI, M. Y. Phase Transformations in Metals and Alloys. 3rd edition. 2009. DEHOFF, R. Thermodynamics in Materials Science. 2nd edition. 2006. KRAUSS, G. Heat Treatment and Processing Principles. ASM Int. 1990. KRAUSS, G. Steels – Processing, Structure and Performance. 2nd edition. 2015. 7. TOTTEN, G. E. Steel Heat Treatment: Metallurgy and Technologies. 2nd edition. 2007</t>
  </si>
  <si>
    <t xml:space="preserve">5.4</t>
  </si>
  <si>
    <t xml:space="preserve">Fundamentos de Tecnologia e Metalurgia da Soldagem</t>
  </si>
  <si>
    <t xml:space="preserve">Fundamentos de soldagem. Métodos de união de metais. Processos de soldagem (convencionais e especiais). Brasagem. Terminologia de Soldagem. Fluxo de calor em soldagem. Influências metalúrgicas do fluxo de calor. Soldagem de Aços transformáveis. Soldagem de Aços inoxidáveis. Soldagem de liga não-ferrosas. Soldagem de ferro fundido. Processos especiais de soldagem. Comportamento de soldas em serviço. Técnicas metalográficas para solda. Normas e qualificação em soldagem</t>
  </si>
  <si>
    <t xml:space="preserve">MARQUES, P.V. – Tecnologia da Soldagem – UFMG-ESAB, Belo Horizonte, 1991, 352p. MODENESI, P. J., MARQUES, P.V., SANTOS, D.B.O. – Curso de Metalurgia da Soldagem – Fundação Cristiano Ottoni, Deptº de Engª Metalúrgica, UFMG, 1985, 388p. (Apostila). OKUMURA, T., TANIGUCHI, C. – Engenharia de Soldagem e Aplicações – São Paulo – LTC, 1982, 461p. LANCASTER, J.F., - Metallurgy of Welding – 4ª ed., George Allen &amp; Unwin. Londres, 1986, 361p. AMERICAM SOCIETY FOR METALS (ASM) – Welding, Brazing and Soldering – 9ª ed., 3 impres, Vol. 6, 1989, 1152p. WELDING HANDBOOK (AWS) – Fundamentals of Welding – Seventh edition, Vol. 1, 1976, 373p. WELDING HANDBOOK (AWS) – Welding Process-Arc and Gas Welding and Cutting, Brazing and Soldering – Seventh edition, vol 2, 1978, 598p. LINNERT, G.E. – Welding Metallurgy – Fundamentals – (Vol. 1, 1965, 473p.), Technology (Vol2,1967, 674p.) – publish by American Welding Society (AWS). Fundação Brasileira de Tecnologia de Soldagem (FBTS) – Inspetor de Soldagem – Vol. 1, fasc. 1, 2ª ed., 1984, 794p. Associação Brasileira de Metalurgia &amp; Materiais (ABM) – Soldagem - 17ª edição, 1981, 720p. Revistas Técnicas (artigos selecionados): Soldagem &amp; Materiais (ABS-Senai) – Soldagem &amp; Inspeção (ABS)</t>
  </si>
  <si>
    <t xml:space="preserve">5.5</t>
  </si>
  <si>
    <t xml:space="preserve">Engenharia de Superfícies e Revestimentos</t>
  </si>
  <si>
    <t xml:space="preserve">Superfície, interface e energia superficial. Relação entre estado superficial e mecanismos de degradação. Preparação e modificação de superfícies. Tratamentos termoquímicos, conversão química/eletroquímica, deposição física e química de vapor, aspersão térmica, eletrodeposição, sol-gel e técnicas a laser/plasma. Filmes finos e revestimentos funcionais. Adesão, tensões residuais e arquitetura de revestimentos. Caracterização química, estrutural, topográfica, mecânica e tribológica de superfícies. Seleção de processos para controle de corrosão, desgaste e funcionalização</t>
  </si>
  <si>
    <t xml:space="preserve">DAVIS, J. R. Surface Engineering for Corrosion and Wear Resistance. ASM International. MARTIN, P. M. Handbook of Deposition Technologies for Films and Coatings. Elsevier. VICKERMAN, J. C.; GILMORE, I. S. Surface Analysis: The Principal Techniques. Wiley. ASM Handbook, Volume 5: Surface Engineering</t>
  </si>
  <si>
    <t xml:space="preserve">5.6</t>
  </si>
  <si>
    <t xml:space="preserve">Tribologia</t>
  </si>
  <si>
    <t xml:space="preserve">Topografia e contato de superfícies. Atrito, lubrificação e regimes de lubrificação. Mecanismos de desgaste abrasivo, adesivo, erosivo, por fadiga, tribocorrosão e fretting. Métodos de ensaio, análise de mecanismos e quantificação de desgaste. Relação entre microestrutura, propriedades e resposta tribológica. Lubrificantes, materiais autolubrificantes, revestimentos e tratamentos superficiais. Seleção de materiais e projeto tribológico. Falhas tribológicas e estudos de caso</t>
  </si>
  <si>
    <t xml:space="preserve">HUTCHINGS, I. M.; SHIPWAY, P. Tribology: Friction and Wear of Engineering Materials. Butterworth-Heinemann. BHUSHAN, B. Introduction to Tribology. Wiley. STACHOWIAK, G. W.; BATCHELOR, A. W. Engineering Tribology. Butterworth-Heinemann. ASM Handbook, Volume 18: Friction, Lubrication, and Wear Technology</t>
  </si>
  <si>
    <t xml:space="preserve">5.7</t>
  </si>
  <si>
    <t xml:space="preserve">Corrosão e Proteção de Materiais</t>
  </si>
  <si>
    <t xml:space="preserve">Dalila Chaves Sicupira; Taíse Matte Manhabosco</t>
  </si>
  <si>
    <t xml:space="preserve">Termodinâmica e cinética eletroquímica da corrosão. Diagramas de potencial-pH. Polarização e passivação. Formas de corrosão: uniforme, galvânica, localizada, intergranular, seletiva, sob tensão, assistida por hidrogênio e microbiologicamente influenciada. Corrosão em meios industriais e ambientais. Métodos eletroquímicos de avaliação, incluindo polarização e espectroscopia de impedância. Monitoramento e análise de falhas. Seleção de materiais, inibidores, proteção catódica/anódica, revestimentos e projeto para controle de corrosão</t>
  </si>
  <si>
    <t xml:space="preserve">McCafferty, E. Introduction to Corrosion Science. Alexandria: Springer, 2010. Wolynec, S.Técnicas Eletroquímicas em Corrosão. São Paulo: EDUSP, 2003. Gentil, V. Corrosão. 3ª ed. Rio de Janeiro: LTC Editora S.A., 1996. Scully, J. C. The Fundamentals of Corrosion. 2ª ed. New York: Pergamon Press, 1975. Fontana, M. G.; Greene, N. D. Corrosion engineering. 2ª ed. New York: McGraw-Hill,1978</t>
  </si>
  <si>
    <t xml:space="preserve">5.8</t>
  </si>
  <si>
    <t xml:space="preserve">Tecnologia dos Materiais Cerâmicos e Vítreos</t>
  </si>
  <si>
    <t xml:space="preserve">Taíse Matte Manhabosco; Hugo Bonette de Carvalho</t>
  </si>
  <si>
    <t xml:space="preserve">Estrutura, ligações e diagramas de fases em materiais cerâmicos e vítreos. Matérias-primas, síntese de pós e preparação. Conformação, secagem, calcinação, sinterização e vitrificação. Cinética de densificação e crescimento de grão. Estrutura e propriedades de vidros, vitrocerâmicos, cerâmicas tradicionais, refratárias, estruturais e funcionais. Processamento coloidal e rotas avançadas. Defeitos, caracterização, confiabilidade e relações processamento–microestrutura–propriedades. Sustentabilidade, uso de resíduos e aplicações avançadas</t>
  </si>
  <si>
    <t xml:space="preserve">CARTER, C. B.; NORTON, M. G. Ceramic Materials: Science and Engineering. Springer. RAHAMAN, M. N. Ceramic Processing and Sintering. CRC Press. REED, J. S. Principles of Ceramics Processing. Wiley. KINGERY, W. D.; BOWEN, H. K.; UHLMANN, D. R. Introduction to Ceramics. Wiley. SHELBY, J. E. Introduction to Glass Science and Technology. Royal Society of Chemistry</t>
  </si>
  <si>
    <t xml:space="preserve">5.9</t>
  </si>
  <si>
    <t xml:space="preserve">Tecnologia dos Materiais Poliméricos e Compósitos</t>
  </si>
  <si>
    <t xml:space="preserve">Cláudio Gouvea dos Santos; Eliane Ayres</t>
  </si>
  <si>
    <t xml:space="preserve">Estrutura molecular, arquitetura macromolecular, massa molar e distribuição de massas molares. Morfologia, cristalinidade e transições térmicas. Relações entre estrutura, processamento, microestrutura e propriedades. Viscoelasticidade e reologia de polímeros. Processamento de termoplásticos, termofixos e elastômeros. Blendas, aditivos, modificação e degradação de polímeros. Fundamentos de materiais compósitos: matrizes, reforços, interfaces e transferência de tensão. Micromecânica, anisotropia, laminados e mecanismos de falha. Processamento de compósitos poliméricos e híbridos. Nanocompósitos, biopolímeros e compósitos de fontes renováveis. Reciclagem, sustentabilidade, economia circular e aplicações funcionais de materiais poliméricos e compósitos</t>
  </si>
  <si>
    <t xml:space="preserve">CANEVAROLO JR., S. V. Ciência dos Polímeros: um texto básico para tecnólogos e engenheiros. 4ª ed. São Paulo: Artliber, 2019. MANO, E. B.; MENDES, L. C. Introdução a Polímeros*. 3ª ed. São Paulo: Blucher, 2019. CALLISTER Jr., W. D.; RETHWISCH, D. G. Materials Science and Engineering: An Introduction. 10ª ed. Wiley, 2020. (capítulos sobre polímeros). SPERLING, L. H. Introduction to Physical Polymer Science. 4ª ed. Wiley, 2006. ODIAN, G. Principles of Polymerization. 4ª ed. Wiley, 2004. RABELLO, M. Aditivação de Polímeros*. São Paulo: Artliber, 2000. WIEBECK, H.; HARADA, J. Plásticos de Engenharia: tecnologia e aplicações. São Paulo: Artliber, 2005</t>
  </si>
  <si>
    <t xml:space="preserve">5.10</t>
  </si>
  <si>
    <t xml:space="preserve">Injeção de Materiais Pulverizados em Altos-Fornos</t>
  </si>
  <si>
    <t xml:space="preserve">Conceitos básicos nas áreas de produção de aço, desde matérias primas até processos de refinos primário e secundário. Fundamentos termodinâmicos e cinéticos e aspectos operacionais de injeção de materiais pulverizados em altos-fornos</t>
  </si>
  <si>
    <t xml:space="preserve">ASSIS, P.S. ET ALLI. Modeling and Simulation of Iron &amp; Steelmaking. Ed. REM 1998. Assis, P.S et all. Injeção de Materiais Pulverizados em Altos-fornos. Ed ABM, 2009, 308 p. GHOSH, A &amp; CHATTERJEE, A. Iron and Steelmaking: Theory and Practice. Ed. PHI 2011</t>
  </si>
  <si>
    <t xml:space="preserve">5.11</t>
  </si>
  <si>
    <t xml:space="preserve">Innovative Biomass used in the Iron and Steelmaking</t>
  </si>
  <si>
    <t xml:space="preserve">Basic Concepts used in the Iron and Steel production. GHG Comments and the relationship between Iron and Steelmaking and GHG. Net Zero Challenge to be achieved in 2050. General Concepts about Biomass and New Technologies available in the World. The Agribusiness in the Present and relation with possible reduction in the Iron and Steel production by using sub products from the agriculture and Cattle Breeding</t>
  </si>
  <si>
    <t xml:space="preserve">ASSIS, P.S (EDITOR) MODELING AND SIMULATION OF IRON AND STEELMAKING, 1998), 366 P. Iron and Steelmaking , L.A. 1987. Ghosh, A &amp; Chatterjee, A. Iron and Steelmaking: Theory and Practice. Ed. PHI 2011</t>
  </si>
  <si>
    <t xml:space="preserve">5.12</t>
  </si>
  <si>
    <t xml:space="preserve">Lingotamento Contínuo De Aços</t>
  </si>
  <si>
    <t xml:space="preserve">Johne Jesus Mol Peixoto .
</t>
  </si>
  <si>
    <t xml:space="preserve">Introdução e descrição do processo. Transferência de calor e solidificação no molde: Resfriamento no molde e resultados de sondagens; resfriamento secundário e terciário; modelo analítico e numérico; espessura mínima; influência de parâmetros operacionais sobre as trocas térmicas. Lubrificantes para lingotamento contínuo: funções e propriedades; especificação e consumo; influência sobre a operação. Características do ciclo de operação. Padrão de fluxo no molde e qualidade. Fenômenos de solidificação, tensões termomecânicas e formação de defeitos</t>
  </si>
  <si>
    <t xml:space="preserve">The making, shaping and treating of steel; 11th edition; The AISE Foundation, Pittsburgh, PA-USA; A.W. Cramb (Editor), 2003. Solidificação, Fundamentos e Aplicações; Amauri Gracia, Editora Unicamp, 2001. Continuous Casting; Iron and Steel Society of AIME, Vol I a 5. Tundish Metallurgy; Iron and Steel Society of AIME, vol I e II. Artigos técnicos</t>
  </si>
  <si>
    <t xml:space="preserve">6.1</t>
  </si>
  <si>
    <t xml:space="preserve">Transformações de Fase e Evolução Microestrutural em aços</t>
  </si>
  <si>
    <t xml:space="preserve">Área 1, Linha 1.2</t>
  </si>
  <si>
    <t xml:space="preserve">Estrutura, Propriedades, Degradação, Modelagem e Integridade</t>
  </si>
  <si>
    <t xml:space="preserve">Classificação das Transformações; Características Gerais das Transformações por Nucleação e Crescimento; Características Gerais das Transformações Martensíticas; Princípios de Cinética Química e Energia de Ativação; Teoria das Taxas de Reação; Mecanismos de Difusão Atômica; Difusão Intersticial; Difusão Substitucional; Mobilidade Atômica; Caminhos de Alta Difusividade; Transformações Difusionais nos Sólidos; Austenitização; Transformação Ferrítica; Precipitação Celular; Transformações Eutetóides; Transformações Massivas; Transformações Adifusionais nos Sólidos; Teorias da Nucleação Martensítica; Teoria do Crescimento Martensítico; Cinética de Transformações de Fases; Dilatometria; Modelo JMAK; Modelo de Koistinen &amp; Marburger; Adaptação do Modelo JMAK para Aquecimento e Resfriamento Contínuo; Modelos Matemáticos para a Austenitização; Modelos Matemáticos para a Transformação Austenita-Ferrita; Modelos Matemáticos para a Transformação Austenita-Perlita; Estudo de Casos</t>
  </si>
  <si>
    <t xml:space="preserve">CHRISTIAN, J. W. The Theory of Transformations in Metals and Alloys. An Advanced. Textbook in Physical Metallurgy. 2nd edition. 1981. PORTER, D. A.; EASTERLIN, K. E.; SHERI, M. Y. Phase Transformations in Metals and Alloys. 3rd edition. 2009. COTA, A. B. Transformações de Fases em Materiais. ISBN 978-65-00-60936-3. 2023. KRAUSS, G. Heat Treatment and Processing Principles. ASM Int. 1990. KRAUSS, G. Steels – Processing, Structure and Performance. 2nd edition. 2015. BHADESHIA, H. K. D. H.; HONEYCOMBE, R. Steels: Microstructure and Properties. 4th edition. Butterworth-Heinemann. 2017. BHADESHIA, H. K. D. H. Bainite in Steels. 3rd edition. 2015</t>
  </si>
  <si>
    <t xml:space="preserve">6.2</t>
  </si>
  <si>
    <t xml:space="preserve">Comportamento Mecânico dos Materiais</t>
  </si>
  <si>
    <t xml:space="preserve">Estados de tensão e deformação. Abordagem mecânica para elasticidade, viscoelasticidade e plasticidade. Discordâncias e micromecanismos de deformação plástica. Discordâncias e micromecanismos de endurecimento. Fratura: aspectos microestruturais e aplicação da Mecânica de Fratura. Fadiga. Fluência. Efeitos ambientais. Ensaios mecânicos</t>
  </si>
  <si>
    <t xml:space="preserve">Dowling, N.E., Kampe, S.L., Kral, M.V.: Mechanical Behavior of Materials. Pearson, 2020. Hertzberg, R.W., Vinci, R.P., Hertzberg, J.L.: Deformation and Fracture Mechanics of Engineering Materials. Wiley, 2013. Meyers, M.A., Chawla, K.K.: Mechanical Behavior of Materials. Cambridge Univ. Press, 2009. Dieter, G.E.: Mechanical Metallurgy. McGraw-Hill, 1988</t>
  </si>
  <si>
    <t xml:space="preserve">6.3</t>
  </si>
  <si>
    <t xml:space="preserve">Resistência à Fratura de Materiais com aplicação da Mecânica de Fratura</t>
  </si>
  <si>
    <t xml:space="preserve">Fratura - aspectos macroscópicos e microscópicos. Condução de uma análise de falha em componentes estruturais. Mecânica de fratura elástica linear, com critérios KIC e KC. Mecânica de fratura elastoplástica, com critérios CTOD e integral J. Resistência à iniciação e propagação de trinca por fadiga, por fluência e por ambiente agressivo. Ensaios mecânicos. Integridade estrutural</t>
  </si>
  <si>
    <t xml:space="preserve">Ritchie, R.O., Liu, D.: Introduction to Fracture Mechanics. Elsevier, 2021. Dowling, N.E., Kampe, S.L., Kral, M.V.: Mechanical Behavior of Materials. Pearson, 2020. Saxena, A.: Advanced Fracture Mechanics and Structural Integrity. CRC Press, 2019. Anderson, T.L.: Fracture Mechanics, Fudamentals and Applications. CRC Press, 2017. Hertzberg, R.W., Vinci, R.P., Hertzberg, J.L.: Deformation and Fracture Mechanics of Engineering Materials. Wiley, 2013. Milella, P.P.: Fatigue and Corrosion in Metals. Springer, 2013. Schijve, J.: Fatigue of Structures and Materials. Springer, 2009. Suresh, S.: Fatigue of Materials, Cambridge Univ. Press. 2004</t>
  </si>
  <si>
    <t xml:space="preserve">6.4</t>
  </si>
  <si>
    <t xml:space="preserve">Estrutura Eletrônica e Métodos Quânticos em Materiais</t>
  </si>
  <si>
    <t xml:space="preserve">Fundamentos de DFT, condições periódicas/supercélulas aplicadas a primeiros princípios, defeitos e interfaces via cálculos ab initio, convergência e validação, estudos de caso em materiais funcionais</t>
  </si>
  <si>
    <t xml:space="preserve">MARTIN, R. M. Electronic Structure: Basic Theory and Practical Methods. Cambridge University Press. FRENKEL, D.; SMIT, B. Understanding Molecular Simulation. Academic Press. TUCKERMAN, M. Statistical Mechanics: Theory and Molecular Simulation. Oxford University Press. RAPAPORT, D. C. The Art of Molecular Dynamics Simulation. Cambridge University Press. Artigos metodológicos atuais sobre DFT, dinâmica molecular, phase-field e workflows de materiais</t>
  </si>
  <si>
    <t xml:space="preserve">6.5</t>
  </si>
  <si>
    <t xml:space="preserve">Modelagem Atomística e Mesoscópica de Materiais</t>
  </si>
  <si>
    <t xml:space="preserve">Potenciais interatômicos, dinâmica molecular e Monte Carlo, métodos de mesoescala (phase-field) e conexão com contínuo/FEM, amostragem/convergência/quantificação de incerteza, fluxos reprodutíveis, HPC e integração com bases de dados/aprendizado de máquina, estudos de caso em metálicos, 2D e interfaces</t>
  </si>
  <si>
    <t xml:space="preserve">6.6</t>
  </si>
  <si>
    <t xml:space="preserve">Métodos Numéricos Aplicados à Engenharia de Materiais</t>
  </si>
  <si>
    <t xml:space="preserve">Américo Tristão Bernardes; Matheus Josué de Souza Matos; Johne Jesus Mol Peixoto</t>
  </si>
  <si>
    <t xml:space="preserve">Erros, condicionamento e estabilidade numérica. Solução de sistemas lineares e não lineares. Interpolação, aproximação, regressão e integração numérica. Equações diferenciais ordinárias e parciais. Problemas de autovalores. Otimização e problemas inversos. Aplicações em engenharia de materiais</t>
  </si>
  <si>
    <t xml:space="preserve">FREITAS, Raphael O.; CORRÊA, Rejane I L.; VAZ, Patrícia M S. Cálculo numérico. Porto Alegre: SAGAH, 2019. ARENALES, Selma; DAREZZO, Artur. Cálculo Numérico: aprendizagem com Apoio de Software. 2. ed. Porto Alegre: +A Educação - Cengage Learning Brasil, 2016. CHAPRA, S. C.; CANALE, R. P. Numerical Methods for Engineers. McGraw-Hill. BURDEN, R. L.; FAIRES, J. D.; BURDEN, A. M. Numerical Analysis. Cengage. LEVEQUE, R. J. Finite Difference Methods for Ordinary and Partial Differential Equations. SIAM. LOGAN, D. L. A First Course in the Finite Element Method. Cengage</t>
  </si>
  <si>
    <t xml:space="preserve">6.7</t>
  </si>
  <si>
    <t xml:space="preserve">Inteligência Artificial e Ciência de Dados em Materiais</t>
  </si>
  <si>
    <t xml:space="preserve">Matheus Josué de Souza Matos; Alan Barros de Oliveira; Américo Tristão Bernardes</t>
  </si>
  <si>
    <t xml:space="preserve">Fundamentos de ciência de dados para materiais: aquisição, limpeza, normalização, curadoria e representação de dados. Descritores e engenharia de atributos. Aprendizado supervisionado e não supervisionado; regressão, classificação, redução de dimensionalidade e agrupamento. Validação cruzada, métricas, seleção de modelos, vieses, incerteza e interpretabilidade. Redes neurais e representações de grafos. Otimização bayesiana e active learning. Integração de literatura, bancos de dados experimentais e simulações. Materials informatics, descoberta inversa, modelos substitutos e desenho de experimentos. Reprodutibilidade, governança e limitações de IA generativa em pesquisa</t>
  </si>
  <si>
    <t xml:space="preserve">GOODFELLOW, I.; BENGIO, Y.; COURVILLE, A. Deep Learning. MIT Press. MURPHY, K. P. Probabilistic Machine Learning. MIT Press. BUTLER, K. T. et al. Machine learning for molecular and materials science. Nature, 2018. SCHMIDT, J. et al. Recent advances and applications of machine learning in solid-state materials science. npj Computational Materials, 2019. XIE, T.; GROSSMAN, J. C. Crystal Graph Convolutional Neural Networks for an Accurate and Interpretable Prediction of Material Properties. Physical Review Letters, 2018.8.7. Ementas e referências — Área 2, Linha 2.1: Recursos Minerais, Minerais Críticos e Economia Circular</t>
  </si>
  <si>
    <t xml:space="preserve">7.1</t>
  </si>
  <si>
    <t xml:space="preserve">Recursos Minerais Estratégicos e Críticos</t>
  </si>
  <si>
    <t xml:space="preserve">Área 2, Linha 2.1</t>
  </si>
  <si>
    <t xml:space="preserve">Materiais Estratégicos, Funcionais e Sustentáveis</t>
  </si>
  <si>
    <t xml:space="preserve">Recursos Minerais, Minerais Críticos e Economia Circular</t>
  </si>
  <si>
    <t xml:space="preserve">Versiane Albis Leão; Paulo Santos Assis; Johne Jesus Mol Peixoto; Víctor de Andrade Alvarenga Oliveira</t>
  </si>
  <si>
    <t xml:space="preserve">Conceitos de mineral estratégico e crítico e critérios de criticidade. Cadeias de suprimento, geologia econômica, concentração mineral, metalurgia extrativa e refino de elementos críticos. Terras raras, lítio, níquel, cobalto, grafita, manganês, cobre e outros materiais relevantes para transição energética e tecnologias avançadas. Dependência tecnológica, coprodutos e aproveitamento de fontes secundárias. Caracterização de recursos, desafios de processamento, impactos socioambientais, rastreabilidade, segurança de suprimento e estratégias de circularidade. Estudos de caso brasileiros e internacionais</t>
  </si>
  <si>
    <t xml:space="preserve">WILLS, B. A.; FINCH, J. Wills’ Mineral Processing Technology. Butterworth-Heinemann. GUNN, G. Critical Metals Handbook. Wiley. ASHBY, M. F. Materials and Sustainable Development. Butterworth-Heinemann. Relatórios técnicos recentes de IEA, USGS, órgãos geológicos e instituições públicas competentes sobre minerais críticos e cadeias de suprimento</t>
  </si>
  <si>
    <t xml:space="preserve">7.2</t>
  </si>
  <si>
    <t xml:space="preserve">Hidrometalurgia e Eletrometalurgia</t>
  </si>
  <si>
    <t xml:space="preserve">Versiane Albis Leão; Víctor de Andrade Alvarenga Oliveira</t>
  </si>
  <si>
    <t xml:space="preserve">Operações unitárias em hidrometalurgia. Termodinâmica dos sistemas hidrometalúrgicos. Diagramas de estabilidade. Cinética. Processos de lixiviação. Separação, purificação e enriquecimento de licores. Precipitação e eletrólise. Exemplos de aplicação à metalurgia de metais não ferrosos críticos</t>
  </si>
  <si>
    <t xml:space="preserve">Snoeyink, V. L. e Jenkins D. Water Chemistry. New York: John Wiley &amp;amp; Sons, 1980. 463p. ISBN: 978-0-471-05196-1. Habashi, F. A Textbook of Hydrometallurgy, Quebec: Métallurgie Extractive Quebec: 1993. 689p. ISBN 2980324779. Sohn, H. Y. Wadsworth, M. E. Rate Process of Extractive Metallurgy. New York: Springer Science+Business Media, 1979, 484p. ISBN: 978-1-4684-9119-7. Jackson, E. Hydrometallurgical Extraction and Reclamation. Chichester: Ellis Horwood Limited, 1986. 266p. ISBN: 9780853125686. Gupta, C. K.; Mukherjee, T. K. Hydrometallurgical Extraction Process – Vol. I, Boca Raton: CRC Press, 1990. 248p. ISBN 9780203751428. Gupta, C. K.; Mukherjee, T. K. Hydrometallurgical Extraction Process – Vol. II, Boca Raton: CRC Press,1990. 264p. ISBN 0849368057</t>
  </si>
  <si>
    <t xml:space="preserve">7.3</t>
  </si>
  <si>
    <t xml:space="preserve">Pirometalurgia</t>
  </si>
  <si>
    <t xml:space="preserve">Víctor de Andrade Alvarenga Oliveira; Paulo Santos Assis; Johne Jesus Mol Peixoto</t>
  </si>
  <si>
    <t xml:space="preserve">Operações Unitárias Em Pirometalurgia, Diagrama De Ellingham, Diagrama Pourbaix, Redução Com Monóxido De Carbono, Redução Com Hidrogênio, Redução Com Carbono E Redução Metalotérmica</t>
  </si>
  <si>
    <t xml:space="preserve">F. Habashi. Principles of Extractive Metallurgy. Vol. 3, Pyrometallurgy. Gordon and Breach, 1986. W. McCabe, J. Smith, P. Harriott. Unit Operations of Chemical Engineering, McGraw-Hill, 2005. A. Ballester, L. F. Verdeja, J. Sancho. Metalurgia Extractiva 1 (Fundamentos), Editorial Síntesis, 2000. T. Rosengvist. Principles of Extractive Metallurgy. McGraw Hill. 1983. A.K. Biswas et al. Extractive Metallurgy of Copper. Pergamon Press, 1994. A. R. Burkin. Extractive Metallurgy of Nickel. John Wiley. 1987. Boynton R. S. Chemistry and Technology of Lime and Limestone, Wiley, 1980.05) J. Sancho, L. F. Verdeja, A. Ballester. Metalurgia Extractiva 2 (Procesos de Obtención) Editorial Síntesis, 2000</t>
  </si>
  <si>
    <t xml:space="preserve">7.4</t>
  </si>
  <si>
    <t xml:space="preserve">Mineração Urbana</t>
  </si>
  <si>
    <t xml:space="preserve">Definições. Geração, caracterização e classificação de resíduos e produtos em fim de vida. Economia circular e a gestão de REEE. Indicadores. Rotas de pré-tratamento, separação física, concentração e recuperação química/metalúrgica. Mineração urbana e metais críticos. Fluxogramas de processo. Reciclagem de baterias, resíduos industriais/minerais e eletroeletrônicos (REEE). Estudos de caso: Lâmpadas de LED, imãs permanentes, baterias LiB e placas de circuito impresso (PCI)</t>
  </si>
  <si>
    <t xml:space="preserve">Xavier, L. H. D. S. M.; Ottoni, M. D. S. O. Mineração Urbana: Conceitos e análise do potencial dos resíduos eletroeletrônicos. Rio de Janeiro: CETEM/MCTI, 2021. ISBN 9786559190591. Meskers, C.; Worrell, E.; Reuter, M. A. (Ed.). Handbook of Recycling: State-of-the-art for Practitioners, Analysts, and Scientists. 2 nd Ed. Amsterdan: Elsevier, 2023. 756p. ISBN: 9780323855143. Veasey, Alan. The physical separation and recovery of metals from waste, volume one. Boca Raton:CRC Press, 1993. 199p. ISBN: 2881249167</t>
  </si>
  <si>
    <t xml:space="preserve">8.1</t>
  </si>
  <si>
    <t xml:space="preserve">Biomateriais e Aplicações em Saúde</t>
  </si>
  <si>
    <t xml:space="preserve">Área 2, Linha 2.2</t>
  </si>
  <si>
    <t xml:space="preserve">Materiais Funcionais, Biomateriais, Transição Energética, Desenvolvimento de Novos Materiais e Inovação Tecnológica</t>
  </si>
  <si>
    <t xml:space="preserve">Eliane Ayres; Antônio Valadão Cardoso; Ana Paula Moreira Barboza</t>
  </si>
  <si>
    <t xml:space="preserve">Classes de biomateriais e requisitos de desempenho. Biocompatibilidade, bioatividade, biodegradação e resposta do hospedeiro. Superfícies, interfaces e funcionalização. Biomimética, biomineralização e materiais bioinspirados. Scaffolds, engenharia de tecidos, liberação de ativos e dispositivos. Métodos de caracterização físico-química e biológica. Conceitos físicos e químicos de sensores e atuadores</t>
  </si>
  <si>
    <t xml:space="preserve">RATNER, B. D. et al. Biomaterials Science: An Introduction to Materials in Medicine. Academic Press. PARK, J.; LAKES, R. S. Biomaterials: An Introduction. Springer. WILLIAMS, D. F. Essential Biomaterials Science. Cambridge University Press. HENCH, L. L.; JONES, J. R. Biomaterials, Artificial Organs and Tissue Engineering. Woodhead</t>
  </si>
  <si>
    <t xml:space="preserve">8.2</t>
  </si>
  <si>
    <t xml:space="preserve">Introdução à Nanociência e Nanotecnologia</t>
  </si>
  <si>
    <t xml:space="preserve">Ana Paula Moreira Barboza; Matheus Josué de Souza Matos; Ive Silvestre de Almeida</t>
  </si>
  <si>
    <t xml:space="preserve">Escalas de comprimento e classificação dos nanomateriais segundo sua dimensionalidade. Efeitos de tamanho, confinamento, interfaces e elevada razão entre superfície e volume. Principais classes de nanomateriais: nanopartículas, pontos quânticos, nanofios, nanotubos, filmes finos, materiais bidimensionais e nanocompósitos. Estrutura, energia e estabilidade de materiais em escala nanométrica (aqui entraria estrutura eletrônica, defeitos, interfaces. Métodos de síntese e fabricação por abordagens top-down e bottom-up ; Funcionalização, auto-organização, dopagem e controle de superfícies. Fundamentos das principais técnicas de caracterização estrutural, morfológica, química e espectroscópica. Relações entre estrutura, processamento e propriedades mecânicas, ópticas, elétricas, magnéticas e catalíticas. Aplicações em energia, meio ambiente, sensores, eletrônica e saúde. Aspectos básicos de segurança, toxicidade, impacto ambiental</t>
  </si>
  <si>
    <t xml:space="preserve">HORNYAK, Gabor L.; TIBBALS, H. F.; DUTTA, Joydeep; MOORE, John J. Introduction to nanoscience and nanotechnology. Boca Raton: CRC Press, 2009. CAO, G.; WANG, Y. Nanostructures and Nanomaterials: Synthesis, Properties and Applications. World Scientific. NOVOSELOV, K. S. et al. 2D materials and van der Waals heterostructures. Science, 2016. BUTLER, S. Z. et al. Progress, Challenges, and Opportunities in Two-Dimensional Materials Beyond Graphene. ACS Nano, 2013. GEIM, A. K.; GRIGORIEVA, I. V. Van der Waals heterostructures. Nature, 2013. Artigos de revisão recentes sobre síntese, defeitos e aplicações de materiais 2D</t>
  </si>
  <si>
    <t xml:space="preserve">8.3</t>
  </si>
  <si>
    <t xml:space="preserve">Materiais e Dispositivos Optoeletrônicos Orgânicos</t>
  </si>
  <si>
    <t xml:space="preserve">Rodrigo Fernando Bianchi; Hugo Bonette de Carvalho; Thiago Cazati; Matheus Josué de Souza Matos</t>
  </si>
  <si>
    <t xml:space="preserve">Fundamentos das propriedades ópticas e eletrônicas de materiais orgânicos conjugados. Processos de absorção, fotoluminescência e transferência de energia e carga. Materiais doadores e aceitadores de elétrons. Princípios de funcionamento e características de dispositivos eletroluminescentes orgânicos (OLEDs) e células solares orgânicas (OSCs). Relação entre estrutura molecular, propriedades fotofísicas, estrutura e funcionamento dos dispositivos. Processamento e caracterização de filmes finos e dispositivos optoeletrônicos. Perspectivas e aplicações de materiais orgânicos funcionais em eletrônica e conversão de energia</t>
  </si>
  <si>
    <t xml:space="preserve">S. M. Sze, Physics of semiconductor devices, 2nd Ed. Wiley-Interscience (1981). S. Rezende, Materiais e dispositivos eletrônicos, 2a Ed. (2004); [3] Artigos de Periódicos Especializados. BRABEC, C. J.; DYAKONOV, V.; SCHERF, U. (Eds.). Organic Photovoltaics. Wiley-VCH, 2014. LI, Z. R. Organic Light-Emitting Materials and Devices. 2nd ed. CRC Press, 2017</t>
  </si>
  <si>
    <t xml:space="preserve">8.4</t>
  </si>
  <si>
    <t xml:space="preserve">Princípios e Aplicações da Espectroscopia de Absorção e Fotoluminescência em Materiais</t>
  </si>
  <si>
    <t xml:space="preserve">Vítreos e de Tecnologia dos Materiais Poliméricos; Compósitos serão compartilhadas com a Linha 1.1; estrutura; função e aplicação.
</t>
  </si>
  <si>
    <t xml:space="preserve">Fundamentos da interação da radiação eletromagnética com a matéria e suas aplicações na caracterização de materiais. Espectroscopia de absorção UV-Vis: transições eletrônicas em moléculas e materiais, probabilidade de transição e regras de seleção, princípio de Franck–Condon, lei de Beer–Lambert e suas aplicações, dependência da absorbância com a concentração, absorbância verdadeira, efeitos do meio e deslocamentos solvatocrômicos, além de princípios de instrumentação e aquisição de espectros de absorção. Espectroscopia de fotoluminescência: fundamentos da fluorescência e da fosforescência, transições radiativas e não radiativas, deslocamento de Stokes, espectros de emissão, eficiência quântica de fluorescência, processos fotofísicos intra e intermoleculares, técnicas de fluorescência no estado estacionário e resolvida no tempo, tempos de vida do estado excitado, constantes de decaimento radiativo e não radiativo e métodos experimentais para sua determinação. Atividades práticas envolvendo aquisição, tratamento e interpretação de espectros de absorção e fotoluminescência aplicados à caracterização de materiais orgânicos, inorgânicos e híbridos</t>
  </si>
  <si>
    <t xml:space="preserve">LAKOWICZ, J. R. Principles of Fluorescence Spectroscopy. 3. ed. Boston: Springer, 2006. VALEUR, B. Molecular Fluorescence: Principles and Applications. Weinheim: Wiley-VCH, 2001. ATKINS, P.; DE PAULA, J.; KEELER, J. Atkins' Physical Chemistry. Oxford University Press. HOLLAS, J. M. Modern Spectroscopy. 4. ed. Wiley. BANWELL, C. N.; MCCASH, E. M. Fundamentals of Molecular Spectroscopy. McGraw-Hill. TURRO, N. J.; RAMAMURTHY, V.; SCAIANO, J. C. Principles of Molecular Photochemistry: An Introduction. University Science Books</t>
  </si>
  <si>
    <t xml:space="preserve">8.5</t>
  </si>
  <si>
    <t xml:space="preserve">8.6</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</si>
</sst>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sz val="10"/>
      <name val="Arial"/>
      <family val="0"/>
      <charset val="1"/>
    </font>
    <font>
      <sz val="11"/>
      <name val="Arial"/>
      <family val="0"/>
      <charset val="1"/>
    </font>
    <font>
      <b val="true"/>
      <sz val="11"/>
      <name val="Arial"/>
      <family val="0"/>
      <charset val="1"/>
    </font>
    <font>
      <b val="true"/>
      <sz val="10"/>
      <color rgb="FFFFFFFF"/>
      <name val="Arial"/>
      <family val="0"/>
      <charset val="1"/>
    </font>
    <font>
      <sz val="10"/>
      <color rgb="FF666666"/>
      <name val="Arial"/>
      <family val="0"/>
      <charset val="1"/>
    </font>
  </fonts>
  <fills count="4">
    <fill>
      <patternFill patternType="none"/>
    </fill>
    <fill>
      <patternFill patternType="gray125"/>
    </fill>
    <fill>
      <patternFill patternType="solid">
        <fgColor rgb="FF1B2A4A"/>
        <bgColor rgb="FF003366"/>
      </patternFill>
    </fill>
    <fill>
      <patternFill patternType="solid">
        <fgColor rgb="FFFFF7CC"/>
        <bgColor rgb="FFFFFFFF"/>
      </patternFill>
    </fill>
  </fills>
  <borders count="2">
    <border diagonalUp="false" diagonalDown="false">
      <left/>
      <right/>
      <top/>
      <bottom/>
      <diagonal/>
    </border>
    <border diagonalUp="false" diagonalDown="false">
      <left style="thin">
        <color rgb="FFD7DCE5"/>
      </left>
      <right style="thin">
        <color rgb="FFD7DCE5"/>
      </right>
      <top style="thin">
        <color rgb="FFD7DCE5"/>
      </top>
      <bottom style="thin">
        <color rgb="FFD7DC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bgColor rgb="FF000000"/>
        </patternFill>
      </fill>
    </dxf>
    <dxf>
      <fill>
        <patternFill patternType="solid">
          <fgColor rgb="FF666666"/>
          <bgColor rgb="FF000000"/>
        </patternFill>
      </fill>
    </dxf>
    <dxf>
      <fill>
        <patternFill patternType="solid">
          <fgColor rgb="FFFFFFFF"/>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CCFFFF"/>
      <rgbColor rgb="FF660066"/>
      <rgbColor rgb="FFFF8080"/>
      <rgbColor rgb="FF0066CC"/>
      <rgbColor rgb="FFD7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6"/>
  </cols>
  <sheetData>
    <row r="1" customFormat="false" ht="17.35" hidden="false" customHeight="false" outlineLevel="0" collapsed="false">
      <c r="A1" s="1" t="s">
        <v>0</v>
      </c>
      <c r="B1" s="2"/>
    </row>
    <row r="2" customFormat="false" ht="15" hidden="false" customHeight="false" outlineLevel="0" collapsed="false">
      <c r="A2" s="3"/>
      <c r="B2" s="2"/>
    </row>
    <row r="3" customFormat="false" ht="23.85" hidden="false" customHeight="false" outlineLevel="0" collapsed="false">
      <c r="A3" s="3" t="s">
        <v>1</v>
      </c>
      <c r="B3" s="2" t="s">
        <v>2</v>
      </c>
    </row>
    <row r="4" customFormat="false" ht="23.85" hidden="false" customHeight="false" outlineLevel="0" collapsed="false">
      <c r="A4" s="3" t="s">
        <v>3</v>
      </c>
      <c r="B4" s="2" t="s">
        <v>4</v>
      </c>
    </row>
    <row r="5" customFormat="false" ht="15" hidden="false" customHeight="false" outlineLevel="0" collapsed="false">
      <c r="A5" s="3" t="s">
        <v>5</v>
      </c>
      <c r="B5" s="2" t="s">
        <v>6</v>
      </c>
    </row>
    <row r="6" customFormat="false" ht="23.85" hidden="false" customHeight="false" outlineLevel="0" collapsed="false">
      <c r="A6" s="3" t="s">
        <v>7</v>
      </c>
      <c r="B6" s="2" t="s">
        <v>8</v>
      </c>
    </row>
    <row r="7" customFormat="false" ht="15" hidden="false" customHeight="false" outlineLevel="0" collapsed="false">
      <c r="A7" s="3"/>
      <c r="B7" s="2"/>
    </row>
    <row r="8" customFormat="false" ht="15" hidden="false" customHeight="false" outlineLevel="0" collapsed="false">
      <c r="A8" s="4" t="s">
        <v>9</v>
      </c>
      <c r="B8" s="2"/>
    </row>
    <row r="9" customFormat="false" ht="23.85" hidden="false" customHeight="false" outlineLevel="0" collapsed="false">
      <c r="A9" s="3" t="s">
        <v>10</v>
      </c>
      <c r="B9" s="2" t="s">
        <v>11</v>
      </c>
    </row>
    <row r="10" customFormat="false" ht="15" hidden="false" customHeight="false" outlineLevel="0" collapsed="false">
      <c r="A10" s="3" t="s">
        <v>12</v>
      </c>
      <c r="B10" s="2" t="s">
        <v>13</v>
      </c>
    </row>
    <row r="11" customFormat="false" ht="15" hidden="false" customHeight="false" outlineLevel="0" collapsed="false">
      <c r="A11" s="3"/>
      <c r="B11" s="2"/>
    </row>
    <row r="12" customFormat="false" ht="15" hidden="false" customHeight="false" outlineLevel="0" collapsed="false">
      <c r="A12" s="4" t="s">
        <v>14</v>
      </c>
      <c r="B12" s="2"/>
    </row>
    <row r="13" customFormat="false" ht="15" hidden="false" customHeight="false" outlineLevel="0" collapsed="false">
      <c r="A13" s="3" t="s">
        <v>15</v>
      </c>
      <c r="B13" s="2" t="n">
        <f aca="false">COUNTA(Docentes!A2:A200)</f>
        <v>24</v>
      </c>
    </row>
    <row r="14" customFormat="false" ht="15" hidden="false" customHeight="false" outlineLevel="0" collapsed="false">
      <c r="A14" s="3" t="s">
        <v>16</v>
      </c>
      <c r="B14" s="2" t="n">
        <f aca="false">COUNTA(Docentes!F2:F200)</f>
        <v>2</v>
      </c>
    </row>
    <row r="15" customFormat="false" ht="15" hidden="false" customHeight="false" outlineLevel="0" collapsed="false">
      <c r="A15" s="3" t="s">
        <v>17</v>
      </c>
      <c r="B15" s="2" t="n">
        <f aca="false">COUNTA(Docentes!G2:G200)</f>
        <v>1</v>
      </c>
    </row>
    <row r="16" customFormat="false" ht="15" hidden="false" customHeight="false" outlineLevel="0" collapsed="false">
      <c r="A16" s="3" t="s">
        <v>18</v>
      </c>
      <c r="B16" s="2" t="n">
        <f aca="false">COUNTA(Disciplinas!A2:A200)</f>
        <v>39</v>
      </c>
    </row>
    <row r="17" customFormat="false" ht="15" hidden="false" customHeight="false" outlineLevel="0" collapsed="false">
      <c r="A17" s="3" t="s">
        <v>19</v>
      </c>
      <c r="B17" s="2" t="n">
        <f aca="false">SUM(Disciplinas!D2:D200)</f>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0"/>
    <col collapsed="false" customWidth="true" hidden="false" outlineLevel="0" max="4" min="4" style="0" width="14"/>
    <col collapsed="false" customWidth="true" hidden="false" outlineLevel="0" max="5" min="5" style="0" width="10"/>
    <col collapsed="false" customWidth="true" hidden="false" outlineLevel="0" max="6" min="6" style="0" width="34"/>
    <col collapsed="false" customWidth="true" hidden="false" outlineLevel="0" max="7" min="7" style="0" width="30"/>
    <col collapsed="false" customWidth="true" hidden="false" outlineLevel="0" max="8" min="8" style="0" width="24"/>
    <col collapsed="false" customWidth="true" hidden="false" outlineLevel="0" max="9" min="9" style="0" width="30"/>
  </cols>
  <sheetData>
    <row r="1" customFormat="false" ht="30" hidden="false" customHeight="true" outlineLevel="0" collapsed="false">
      <c r="A1" s="5" t="s">
        <v>20</v>
      </c>
      <c r="B1" s="5" t="s">
        <v>21</v>
      </c>
      <c r="C1" s="5" t="s">
        <v>22</v>
      </c>
      <c r="D1" s="5" t="s">
        <v>23</v>
      </c>
      <c r="E1" s="5" t="s">
        <v>24</v>
      </c>
      <c r="F1" s="5" t="s">
        <v>25</v>
      </c>
      <c r="G1" s="5" t="s">
        <v>26</v>
      </c>
      <c r="H1" s="5" t="s">
        <v>27</v>
      </c>
      <c r="I1" s="5" t="s">
        <v>28</v>
      </c>
    </row>
    <row r="2" customFormat="false" ht="15" hidden="false" customHeight="false" outlineLevel="0" collapsed="false">
      <c r="A2" s="6" t="s">
        <v>29</v>
      </c>
      <c r="B2" s="6" t="s">
        <v>30</v>
      </c>
      <c r="C2" s="6" t="s">
        <v>31</v>
      </c>
      <c r="D2" s="6" t="s">
        <v>32</v>
      </c>
      <c r="E2" s="6" t="s">
        <v>33</v>
      </c>
      <c r="F2" s="7"/>
      <c r="G2" s="7"/>
      <c r="H2" s="7"/>
      <c r="I2" s="7"/>
    </row>
    <row r="3" customFormat="false" ht="15" hidden="false" customHeight="false" outlineLevel="0" collapsed="false">
      <c r="A3" s="6" t="s">
        <v>34</v>
      </c>
      <c r="B3" s="6" t="s">
        <v>35</v>
      </c>
      <c r="C3" s="6" t="s">
        <v>31</v>
      </c>
      <c r="D3" s="6" t="s">
        <v>32</v>
      </c>
      <c r="E3" s="6" t="s">
        <v>33</v>
      </c>
      <c r="F3" s="7"/>
      <c r="G3" s="7"/>
      <c r="H3" s="7"/>
      <c r="I3" s="7"/>
    </row>
    <row r="4" customFormat="false" ht="15" hidden="false" customHeight="false" outlineLevel="0" collapsed="false">
      <c r="A4" s="6" t="s">
        <v>36</v>
      </c>
      <c r="B4" s="6" t="s">
        <v>37</v>
      </c>
      <c r="C4" s="6" t="s">
        <v>31</v>
      </c>
      <c r="D4" s="6" t="s">
        <v>32</v>
      </c>
      <c r="E4" s="6" t="s">
        <v>33</v>
      </c>
      <c r="F4" s="7"/>
      <c r="G4" s="7"/>
      <c r="H4" s="7"/>
      <c r="I4" s="7"/>
    </row>
    <row r="5" customFormat="false" ht="15" hidden="false" customHeight="false" outlineLevel="0" collapsed="false">
      <c r="A5" s="6" t="s">
        <v>38</v>
      </c>
      <c r="B5" s="6" t="s">
        <v>39</v>
      </c>
      <c r="C5" s="6" t="s">
        <v>40</v>
      </c>
      <c r="D5" s="6" t="s">
        <v>41</v>
      </c>
      <c r="E5" s="6" t="s">
        <v>33</v>
      </c>
      <c r="F5" s="7"/>
      <c r="G5" s="7"/>
      <c r="H5" s="7"/>
      <c r="I5" s="7"/>
    </row>
    <row r="6" customFormat="false" ht="15" hidden="false" customHeight="false" outlineLevel="0" collapsed="false">
      <c r="A6" s="6" t="s">
        <v>42</v>
      </c>
      <c r="B6" s="6" t="s">
        <v>43</v>
      </c>
      <c r="C6" s="6" t="s">
        <v>31</v>
      </c>
      <c r="D6" s="6" t="s">
        <v>41</v>
      </c>
      <c r="E6" s="6" t="s">
        <v>33</v>
      </c>
      <c r="F6" s="7"/>
      <c r="G6" s="7"/>
      <c r="H6" s="7"/>
      <c r="I6" s="7"/>
    </row>
    <row r="7" customFormat="false" ht="15" hidden="false" customHeight="false" outlineLevel="0" collapsed="false">
      <c r="A7" s="6" t="s">
        <v>44</v>
      </c>
      <c r="B7" s="6" t="s">
        <v>45</v>
      </c>
      <c r="C7" s="6" t="s">
        <v>31</v>
      </c>
      <c r="D7" s="6" t="s">
        <v>32</v>
      </c>
      <c r="E7" s="6" t="s">
        <v>33</v>
      </c>
      <c r="F7" s="7"/>
      <c r="G7" s="7"/>
      <c r="H7" s="7"/>
      <c r="I7" s="7"/>
    </row>
    <row r="8" customFormat="false" ht="15" hidden="false" customHeight="false" outlineLevel="0" collapsed="false">
      <c r="A8" s="6" t="s">
        <v>46</v>
      </c>
      <c r="B8" s="6" t="s">
        <v>47</v>
      </c>
      <c r="C8" s="6" t="s">
        <v>40</v>
      </c>
      <c r="D8" s="6" t="s">
        <v>32</v>
      </c>
      <c r="E8" s="6" t="s">
        <v>33</v>
      </c>
      <c r="F8" s="7"/>
      <c r="G8" s="7"/>
      <c r="H8" s="7"/>
      <c r="I8" s="7"/>
    </row>
    <row r="9" customFormat="false" ht="15" hidden="false" customHeight="false" outlineLevel="0" collapsed="false">
      <c r="A9" s="6" t="s">
        <v>48</v>
      </c>
      <c r="B9" s="6" t="s">
        <v>49</v>
      </c>
      <c r="C9" s="6" t="s">
        <v>31</v>
      </c>
      <c r="D9" s="6" t="s">
        <v>41</v>
      </c>
      <c r="E9" s="6" t="s">
        <v>33</v>
      </c>
      <c r="F9" s="7"/>
      <c r="G9" s="7"/>
      <c r="H9" s="7"/>
      <c r="I9" s="7"/>
    </row>
    <row r="10" customFormat="false" ht="15" hidden="false" customHeight="false" outlineLevel="0" collapsed="false">
      <c r="A10" s="6" t="s">
        <v>50</v>
      </c>
      <c r="B10" s="6" t="s">
        <v>51</v>
      </c>
      <c r="C10" s="6" t="s">
        <v>31</v>
      </c>
      <c r="D10" s="6" t="s">
        <v>32</v>
      </c>
      <c r="E10" s="6" t="s">
        <v>33</v>
      </c>
      <c r="F10" s="7"/>
      <c r="G10" s="7"/>
      <c r="H10" s="7"/>
      <c r="I10" s="7"/>
    </row>
    <row r="11" customFormat="false" ht="23.85" hidden="false" customHeight="false" outlineLevel="0" collapsed="false">
      <c r="A11" s="6" t="s">
        <v>52</v>
      </c>
      <c r="B11" s="6" t="s">
        <v>53</v>
      </c>
      <c r="C11" s="6" t="s">
        <v>54</v>
      </c>
      <c r="D11" s="6" t="s">
        <v>41</v>
      </c>
      <c r="E11" s="6" t="s">
        <v>33</v>
      </c>
      <c r="F11" s="7"/>
      <c r="G11" s="7"/>
      <c r="H11" s="7"/>
      <c r="I11" s="7"/>
    </row>
    <row r="12" customFormat="false" ht="15" hidden="false" customHeight="false" outlineLevel="0" collapsed="false">
      <c r="A12" s="6" t="s">
        <v>55</v>
      </c>
      <c r="B12" s="6" t="s">
        <v>56</v>
      </c>
      <c r="C12" s="6" t="s">
        <v>31</v>
      </c>
      <c r="D12" s="6" t="s">
        <v>32</v>
      </c>
      <c r="E12" s="6" t="s">
        <v>33</v>
      </c>
      <c r="F12" s="7"/>
      <c r="G12" s="7"/>
      <c r="H12" s="7"/>
      <c r="I12" s="7"/>
    </row>
    <row r="13" customFormat="false" ht="15" hidden="false" customHeight="false" outlineLevel="0" collapsed="false">
      <c r="A13" s="6" t="s">
        <v>57</v>
      </c>
      <c r="B13" s="6" t="s">
        <v>58</v>
      </c>
      <c r="C13" s="6" t="s">
        <v>31</v>
      </c>
      <c r="D13" s="6" t="s">
        <v>41</v>
      </c>
      <c r="E13" s="6" t="s">
        <v>33</v>
      </c>
      <c r="F13" s="7"/>
      <c r="G13" s="7"/>
      <c r="H13" s="7"/>
      <c r="I13" s="7"/>
    </row>
    <row r="14" customFormat="false" ht="15" hidden="false" customHeight="false" outlineLevel="0" collapsed="false">
      <c r="A14" s="6" t="s">
        <v>59</v>
      </c>
      <c r="B14" s="6" t="s">
        <v>60</v>
      </c>
      <c r="C14" s="6" t="s">
        <v>31</v>
      </c>
      <c r="D14" s="6" t="s">
        <v>41</v>
      </c>
      <c r="E14" s="6" t="s">
        <v>33</v>
      </c>
      <c r="F14" s="7"/>
      <c r="G14" s="7"/>
      <c r="H14" s="7"/>
      <c r="I14" s="7"/>
    </row>
    <row r="15" customFormat="false" ht="15" hidden="false" customHeight="false" outlineLevel="0" collapsed="false">
      <c r="A15" s="6" t="s">
        <v>61</v>
      </c>
      <c r="B15" s="6" t="s">
        <v>62</v>
      </c>
      <c r="C15" s="6" t="s">
        <v>31</v>
      </c>
      <c r="D15" s="6" t="s">
        <v>32</v>
      </c>
      <c r="E15" s="6" t="s">
        <v>33</v>
      </c>
      <c r="F15" s="7"/>
      <c r="G15" s="7"/>
      <c r="H15" s="7"/>
      <c r="I15" s="7"/>
    </row>
    <row r="16" customFormat="false" ht="46.25" hidden="false" customHeight="false" outlineLevel="0" collapsed="false">
      <c r="A16" s="6" t="s">
        <v>63</v>
      </c>
      <c r="B16" s="6" t="s">
        <v>64</v>
      </c>
      <c r="C16" s="6" t="s">
        <v>31</v>
      </c>
      <c r="D16" s="6" t="s">
        <v>41</v>
      </c>
      <c r="E16" s="6" t="s">
        <v>33</v>
      </c>
      <c r="F16" s="7" t="s">
        <v>65</v>
      </c>
      <c r="G16" s="7"/>
      <c r="H16" s="7"/>
      <c r="I16" s="7" t="s">
        <v>66</v>
      </c>
    </row>
    <row r="17" customFormat="false" ht="23.85" hidden="false" customHeight="false" outlineLevel="0" collapsed="false">
      <c r="A17" s="6" t="s">
        <v>67</v>
      </c>
      <c r="B17" s="6" t="s">
        <v>68</v>
      </c>
      <c r="C17" s="6" t="s">
        <v>31</v>
      </c>
      <c r="D17" s="6" t="s">
        <v>32</v>
      </c>
      <c r="E17" s="6" t="s">
        <v>33</v>
      </c>
      <c r="F17" s="7" t="s">
        <v>69</v>
      </c>
      <c r="G17" s="7" t="s">
        <v>70</v>
      </c>
      <c r="H17" s="7"/>
      <c r="I17" s="7" t="s">
        <v>71</v>
      </c>
    </row>
    <row r="18" customFormat="false" ht="15" hidden="false" customHeight="false" outlineLevel="0" collapsed="false">
      <c r="A18" s="6" t="s">
        <v>72</v>
      </c>
      <c r="B18" s="6" t="s">
        <v>73</v>
      </c>
      <c r="C18" s="6" t="s">
        <v>31</v>
      </c>
      <c r="D18" s="6" t="s">
        <v>32</v>
      </c>
      <c r="E18" s="6" t="s">
        <v>33</v>
      </c>
      <c r="F18" s="7"/>
      <c r="G18" s="7"/>
      <c r="H18" s="7"/>
      <c r="I18" s="7"/>
    </row>
    <row r="19" customFormat="false" ht="15" hidden="false" customHeight="false" outlineLevel="0" collapsed="false">
      <c r="A19" s="6" t="s">
        <v>74</v>
      </c>
      <c r="B19" s="6" t="s">
        <v>75</v>
      </c>
      <c r="C19" s="6" t="s">
        <v>40</v>
      </c>
      <c r="D19" s="6" t="s">
        <v>32</v>
      </c>
      <c r="E19" s="6" t="s">
        <v>33</v>
      </c>
      <c r="F19" s="7"/>
      <c r="G19" s="7"/>
      <c r="H19" s="7"/>
      <c r="I19" s="7"/>
    </row>
    <row r="20" customFormat="false" ht="15" hidden="false" customHeight="false" outlineLevel="0" collapsed="false">
      <c r="A20" s="6" t="s">
        <v>76</v>
      </c>
      <c r="B20" s="6" t="s">
        <v>77</v>
      </c>
      <c r="C20" s="6" t="s">
        <v>31</v>
      </c>
      <c r="D20" s="6" t="s">
        <v>32</v>
      </c>
      <c r="E20" s="6" t="s">
        <v>33</v>
      </c>
      <c r="F20" s="7"/>
      <c r="G20" s="7"/>
      <c r="H20" s="7"/>
      <c r="I20" s="7"/>
    </row>
    <row r="21" customFormat="false" ht="15" hidden="false" customHeight="false" outlineLevel="0" collapsed="false">
      <c r="A21" s="6" t="s">
        <v>78</v>
      </c>
      <c r="B21" s="6" t="s">
        <v>79</v>
      </c>
      <c r="C21" s="6" t="s">
        <v>31</v>
      </c>
      <c r="D21" s="6" t="s">
        <v>32</v>
      </c>
      <c r="E21" s="6" t="s">
        <v>33</v>
      </c>
      <c r="F21" s="7"/>
      <c r="G21" s="7"/>
      <c r="H21" s="7"/>
      <c r="I21" s="7"/>
    </row>
    <row r="22" customFormat="false" ht="15" hidden="false" customHeight="false" outlineLevel="0" collapsed="false">
      <c r="A22" s="6" t="s">
        <v>80</v>
      </c>
      <c r="B22" s="6" t="s">
        <v>81</v>
      </c>
      <c r="C22" s="6" t="s">
        <v>31</v>
      </c>
      <c r="D22" s="6" t="s">
        <v>32</v>
      </c>
      <c r="E22" s="6" t="s">
        <v>33</v>
      </c>
      <c r="F22" s="7"/>
      <c r="G22" s="7"/>
      <c r="H22" s="7"/>
      <c r="I22" s="7"/>
    </row>
    <row r="23" customFormat="false" ht="15" hidden="false" customHeight="false" outlineLevel="0" collapsed="false">
      <c r="A23" s="6" t="s">
        <v>82</v>
      </c>
      <c r="B23" s="6" t="s">
        <v>83</v>
      </c>
      <c r="C23" s="6" t="s">
        <v>31</v>
      </c>
      <c r="D23" s="6" t="s">
        <v>32</v>
      </c>
      <c r="E23" s="6" t="s">
        <v>33</v>
      </c>
      <c r="F23" s="7"/>
      <c r="G23" s="7"/>
      <c r="H23" s="7"/>
      <c r="I23" s="7"/>
    </row>
    <row r="24" customFormat="false" ht="15" hidden="false" customHeight="false" outlineLevel="0" collapsed="false">
      <c r="A24" s="6" t="s">
        <v>84</v>
      </c>
      <c r="B24" s="6" t="s">
        <v>85</v>
      </c>
      <c r="C24" s="6" t="s">
        <v>31</v>
      </c>
      <c r="D24" s="6" t="s">
        <v>32</v>
      </c>
      <c r="E24" s="6" t="s">
        <v>33</v>
      </c>
      <c r="F24" s="7"/>
      <c r="G24" s="7"/>
      <c r="H24" s="7"/>
      <c r="I24" s="7"/>
    </row>
    <row r="25" customFormat="false" ht="15" hidden="false" customHeight="false" outlineLevel="0" collapsed="false">
      <c r="A25" s="6" t="s">
        <v>86</v>
      </c>
      <c r="B25" s="6" t="s">
        <v>87</v>
      </c>
      <c r="C25" s="6" t="s">
        <v>31</v>
      </c>
      <c r="D25" s="6" t="s">
        <v>32</v>
      </c>
      <c r="E25" s="6" t="s">
        <v>33</v>
      </c>
      <c r="F25" s="7"/>
      <c r="G25" s="7"/>
      <c r="H25" s="7"/>
      <c r="I25" s="7"/>
    </row>
  </sheetData>
  <autoFilter ref="A1:I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2"/>
    <col collapsed="false" customWidth="true" hidden="false" outlineLevel="0" max="3" min="3" style="0" width="8"/>
    <col collapsed="false" customWidth="true" hidden="false" outlineLevel="0" max="4" min="4" style="0" width="9"/>
    <col collapsed="false" customWidth="true" hidden="false" outlineLevel="0" max="5" min="5" style="0" width="18"/>
    <col collapsed="false" customWidth="true" hidden="false" outlineLevel="0" max="6" min="6" style="0" width="24"/>
    <col collapsed="false" customWidth="true" hidden="false" outlineLevel="0" max="7" min="7" style="0" width="26"/>
    <col collapsed="false" customWidth="true" hidden="false" outlineLevel="0" max="8" min="8" style="0" width="34"/>
    <col collapsed="false" customWidth="true" hidden="false" outlineLevel="0" max="9" min="9" style="0" width="70"/>
    <col collapsed="false" customWidth="true" hidden="false" outlineLevel="0" max="10" min="10" style="0" width="60"/>
    <col collapsed="false" customWidth="true" hidden="false" outlineLevel="0" max="11" min="11" style="0" width="12"/>
  </cols>
  <sheetData>
    <row r="1" customFormat="false" ht="30" hidden="false" customHeight="true" outlineLevel="0" collapsed="false">
      <c r="A1" s="5" t="s">
        <v>88</v>
      </c>
      <c r="B1" s="5" t="s">
        <v>20</v>
      </c>
      <c r="C1" s="5" t="s">
        <v>89</v>
      </c>
      <c r="D1" s="5" t="s">
        <v>90</v>
      </c>
      <c r="E1" s="5" t="s">
        <v>91</v>
      </c>
      <c r="F1" s="5" t="s">
        <v>92</v>
      </c>
      <c r="G1" s="5" t="s">
        <v>93</v>
      </c>
      <c r="H1" s="5" t="s">
        <v>94</v>
      </c>
      <c r="I1" s="5" t="s">
        <v>95</v>
      </c>
      <c r="J1" s="5" t="s">
        <v>96</v>
      </c>
      <c r="K1" s="5" t="s">
        <v>97</v>
      </c>
    </row>
    <row r="2" customFormat="false" ht="91" hidden="false" customHeight="false" outlineLevel="0" collapsed="false">
      <c r="A2" s="6" t="s">
        <v>98</v>
      </c>
      <c r="B2" s="7" t="s">
        <v>99</v>
      </c>
      <c r="C2" s="7" t="n">
        <v>60</v>
      </c>
      <c r="D2" s="7" t="n">
        <v>4</v>
      </c>
      <c r="E2" s="6" t="s">
        <v>100</v>
      </c>
      <c r="F2" s="6"/>
      <c r="G2" s="6"/>
      <c r="H2" s="7" t="s">
        <v>101</v>
      </c>
      <c r="I2" s="7" t="s">
        <v>102</v>
      </c>
      <c r="J2" s="7" t="s">
        <v>103</v>
      </c>
      <c r="K2" s="6" t="s">
        <v>104</v>
      </c>
    </row>
    <row r="3" customFormat="false" ht="91" hidden="false" customHeight="false" outlineLevel="0" collapsed="false">
      <c r="A3" s="6" t="s">
        <v>105</v>
      </c>
      <c r="B3" s="7" t="s">
        <v>106</v>
      </c>
      <c r="C3" s="7" t="n">
        <v>60</v>
      </c>
      <c r="D3" s="7" t="n">
        <v>4</v>
      </c>
      <c r="E3" s="6" t="s">
        <v>100</v>
      </c>
      <c r="F3" s="6"/>
      <c r="G3" s="6"/>
      <c r="H3" s="7" t="s">
        <v>107</v>
      </c>
      <c r="I3" s="7" t="s">
        <v>108</v>
      </c>
      <c r="J3" s="7" t="s">
        <v>109</v>
      </c>
      <c r="K3" s="6" t="s">
        <v>104</v>
      </c>
    </row>
    <row r="4" customFormat="false" ht="91" hidden="false" customHeight="false" outlineLevel="0" collapsed="false">
      <c r="A4" s="6" t="s">
        <v>110</v>
      </c>
      <c r="B4" s="7" t="s">
        <v>111</v>
      </c>
      <c r="C4" s="7" t="n">
        <v>30</v>
      </c>
      <c r="D4" s="7" t="n">
        <v>2</v>
      </c>
      <c r="E4" s="6" t="s">
        <v>100</v>
      </c>
      <c r="F4" s="6"/>
      <c r="G4" s="6"/>
      <c r="H4" s="7" t="s">
        <v>112</v>
      </c>
      <c r="I4" s="7" t="s">
        <v>113</v>
      </c>
      <c r="J4" s="7" t="s">
        <v>114</v>
      </c>
      <c r="K4" s="6" t="s">
        <v>104</v>
      </c>
    </row>
    <row r="5" customFormat="false" ht="102.2" hidden="false" customHeight="false" outlineLevel="0" collapsed="false">
      <c r="A5" s="6" t="s">
        <v>115</v>
      </c>
      <c r="B5" s="7" t="s">
        <v>116</v>
      </c>
      <c r="C5" s="7" t="n">
        <v>45</v>
      </c>
      <c r="D5" s="7" t="n">
        <v>3</v>
      </c>
      <c r="E5" s="6" t="s">
        <v>100</v>
      </c>
      <c r="F5" s="6"/>
      <c r="G5" s="6"/>
      <c r="H5" s="7" t="s">
        <v>117</v>
      </c>
      <c r="I5" s="7" t="s">
        <v>118</v>
      </c>
      <c r="J5" s="7" t="s">
        <v>119</v>
      </c>
      <c r="K5" s="6" t="s">
        <v>104</v>
      </c>
    </row>
    <row r="6" customFormat="false" ht="79.85" hidden="false" customHeight="false" outlineLevel="0" collapsed="false">
      <c r="A6" s="6" t="s">
        <v>120</v>
      </c>
      <c r="B6" s="7" t="s">
        <v>121</v>
      </c>
      <c r="C6" s="7" t="n">
        <v>30</v>
      </c>
      <c r="D6" s="7" t="n">
        <v>2</v>
      </c>
      <c r="E6" s="6" t="s">
        <v>100</v>
      </c>
      <c r="F6" s="6"/>
      <c r="G6" s="6"/>
      <c r="H6" s="7"/>
      <c r="I6" s="7" t="s">
        <v>122</v>
      </c>
      <c r="J6" s="7" t="s">
        <v>123</v>
      </c>
      <c r="K6" s="6" t="s">
        <v>104</v>
      </c>
    </row>
    <row r="7" customFormat="false" ht="158.2" hidden="false" customHeight="false" outlineLevel="0" collapsed="false">
      <c r="A7" s="6" t="s">
        <v>124</v>
      </c>
      <c r="B7" s="7" t="s">
        <v>125</v>
      </c>
      <c r="C7" s="7" t="n">
        <v>60</v>
      </c>
      <c r="D7" s="7" t="n">
        <v>4</v>
      </c>
      <c r="E7" s="6" t="s">
        <v>100</v>
      </c>
      <c r="F7" s="6"/>
      <c r="G7" s="6"/>
      <c r="H7" s="7" t="s">
        <v>126</v>
      </c>
      <c r="I7" s="7" t="s">
        <v>127</v>
      </c>
      <c r="J7" s="7" t="s">
        <v>128</v>
      </c>
      <c r="K7" s="6" t="s">
        <v>104</v>
      </c>
    </row>
    <row r="8" customFormat="false" ht="158.2" hidden="false" customHeight="false" outlineLevel="0" collapsed="false">
      <c r="A8" s="6" t="s">
        <v>129</v>
      </c>
      <c r="B8" s="7" t="s">
        <v>130</v>
      </c>
      <c r="C8" s="7" t="n">
        <v>30</v>
      </c>
      <c r="D8" s="7" t="n">
        <v>2</v>
      </c>
      <c r="E8" s="6" t="s">
        <v>100</v>
      </c>
      <c r="F8" s="6"/>
      <c r="G8" s="6"/>
      <c r="H8" s="7" t="s">
        <v>126</v>
      </c>
      <c r="I8" s="7" t="s">
        <v>131</v>
      </c>
      <c r="J8" s="7" t="s">
        <v>132</v>
      </c>
      <c r="K8" s="6" t="s">
        <v>104</v>
      </c>
    </row>
    <row r="9" customFormat="false" ht="57.45" hidden="false" customHeight="false" outlineLevel="0" collapsed="false">
      <c r="A9" s="6" t="s">
        <v>133</v>
      </c>
      <c r="B9" s="7" t="s">
        <v>134</v>
      </c>
      <c r="C9" s="7" t="n">
        <v>30</v>
      </c>
      <c r="D9" s="7" t="n">
        <v>2</v>
      </c>
      <c r="E9" s="6" t="s">
        <v>100</v>
      </c>
      <c r="F9" s="6"/>
      <c r="G9" s="6"/>
      <c r="H9" s="7"/>
      <c r="I9" s="7" t="s">
        <v>135</v>
      </c>
      <c r="J9" s="7" t="s">
        <v>136</v>
      </c>
      <c r="K9" s="6" t="s">
        <v>104</v>
      </c>
    </row>
    <row r="10" customFormat="false" ht="57.45" hidden="false" customHeight="false" outlineLevel="0" collapsed="false">
      <c r="A10" s="6" t="s">
        <v>137</v>
      </c>
      <c r="B10" s="7" t="s">
        <v>138</v>
      </c>
      <c r="C10" s="7" t="n">
        <v>45</v>
      </c>
      <c r="D10" s="7" t="n">
        <v>3</v>
      </c>
      <c r="E10" s="6" t="s">
        <v>100</v>
      </c>
      <c r="F10" s="6"/>
      <c r="G10" s="6"/>
      <c r="H10" s="7"/>
      <c r="I10" s="7" t="s">
        <v>135</v>
      </c>
      <c r="J10" s="7" t="s">
        <v>136</v>
      </c>
      <c r="K10" s="6" t="s">
        <v>104</v>
      </c>
    </row>
    <row r="11" customFormat="false" ht="57.45" hidden="false" customHeight="false" outlineLevel="0" collapsed="false">
      <c r="A11" s="6" t="s">
        <v>139</v>
      </c>
      <c r="B11" s="7" t="s">
        <v>140</v>
      </c>
      <c r="C11" s="7" t="n">
        <v>60</v>
      </c>
      <c r="D11" s="7" t="n">
        <v>4</v>
      </c>
      <c r="E11" s="6" t="s">
        <v>100</v>
      </c>
      <c r="F11" s="6"/>
      <c r="G11" s="6"/>
      <c r="H11" s="7"/>
      <c r="I11" s="7" t="s">
        <v>135</v>
      </c>
      <c r="J11" s="7" t="s">
        <v>136</v>
      </c>
      <c r="K11" s="6" t="s">
        <v>104</v>
      </c>
    </row>
    <row r="12" customFormat="false" ht="79.85" hidden="false" customHeight="false" outlineLevel="0" collapsed="false">
      <c r="A12" s="6" t="s">
        <v>141</v>
      </c>
      <c r="B12" s="7" t="s">
        <v>142</v>
      </c>
      <c r="C12" s="7" t="n">
        <v>30</v>
      </c>
      <c r="D12" s="7" t="n">
        <v>2</v>
      </c>
      <c r="E12" s="6" t="s">
        <v>143</v>
      </c>
      <c r="F12" s="6" t="s">
        <v>144</v>
      </c>
      <c r="G12" s="6" t="s">
        <v>145</v>
      </c>
      <c r="H12" s="7" t="s">
        <v>146</v>
      </c>
      <c r="I12" s="7" t="s">
        <v>147</v>
      </c>
      <c r="J12" s="7" t="s">
        <v>148</v>
      </c>
      <c r="K12" s="6" t="s">
        <v>104</v>
      </c>
    </row>
    <row r="13" customFormat="false" ht="91" hidden="false" customHeight="false" outlineLevel="0" collapsed="false">
      <c r="A13" s="6" t="s">
        <v>149</v>
      </c>
      <c r="B13" s="7" t="s">
        <v>150</v>
      </c>
      <c r="C13" s="7" t="n">
        <v>30</v>
      </c>
      <c r="D13" s="7" t="n">
        <v>2</v>
      </c>
      <c r="E13" s="6" t="s">
        <v>143</v>
      </c>
      <c r="F13" s="6" t="s">
        <v>144</v>
      </c>
      <c r="G13" s="6" t="s">
        <v>145</v>
      </c>
      <c r="H13" s="7" t="s">
        <v>151</v>
      </c>
      <c r="I13" s="7" t="s">
        <v>152</v>
      </c>
      <c r="J13" s="7" t="s">
        <v>153</v>
      </c>
      <c r="K13" s="6" t="s">
        <v>104</v>
      </c>
    </row>
    <row r="14" customFormat="false" ht="158.2" hidden="false" customHeight="false" outlineLevel="0" collapsed="false">
      <c r="A14" s="6" t="s">
        <v>154</v>
      </c>
      <c r="B14" s="7" t="s">
        <v>155</v>
      </c>
      <c r="C14" s="7" t="n">
        <v>45</v>
      </c>
      <c r="D14" s="7" t="n">
        <v>3</v>
      </c>
      <c r="E14" s="6" t="s">
        <v>143</v>
      </c>
      <c r="F14" s="6" t="s">
        <v>144</v>
      </c>
      <c r="G14" s="6" t="s">
        <v>145</v>
      </c>
      <c r="H14" s="7" t="s">
        <v>50</v>
      </c>
      <c r="I14" s="7" t="s">
        <v>156</v>
      </c>
      <c r="J14" s="7" t="s">
        <v>157</v>
      </c>
      <c r="K14" s="6" t="s">
        <v>104</v>
      </c>
    </row>
    <row r="15" customFormat="false" ht="214.15" hidden="false" customHeight="false" outlineLevel="0" collapsed="false">
      <c r="A15" s="6" t="s">
        <v>158</v>
      </c>
      <c r="B15" s="7" t="s">
        <v>159</v>
      </c>
      <c r="C15" s="7" t="n">
        <v>45</v>
      </c>
      <c r="D15" s="7" t="n">
        <v>3</v>
      </c>
      <c r="E15" s="6" t="s">
        <v>143</v>
      </c>
      <c r="F15" s="6" t="s">
        <v>144</v>
      </c>
      <c r="G15" s="6" t="s">
        <v>145</v>
      </c>
      <c r="H15" s="7" t="s">
        <v>78</v>
      </c>
      <c r="I15" s="7" t="s">
        <v>160</v>
      </c>
      <c r="J15" s="7" t="s">
        <v>161</v>
      </c>
      <c r="K15" s="6" t="s">
        <v>104</v>
      </c>
    </row>
    <row r="16" customFormat="false" ht="91" hidden="false" customHeight="false" outlineLevel="0" collapsed="false">
      <c r="A16" s="6" t="s">
        <v>162</v>
      </c>
      <c r="B16" s="7" t="s">
        <v>163</v>
      </c>
      <c r="C16" s="7" t="n">
        <v>30</v>
      </c>
      <c r="D16" s="7" t="n">
        <v>2</v>
      </c>
      <c r="E16" s="6" t="s">
        <v>143</v>
      </c>
      <c r="F16" s="6" t="s">
        <v>144</v>
      </c>
      <c r="G16" s="6" t="s">
        <v>145</v>
      </c>
      <c r="H16" s="7"/>
      <c r="I16" s="7" t="s">
        <v>164</v>
      </c>
      <c r="J16" s="7" t="s">
        <v>165</v>
      </c>
      <c r="K16" s="6" t="s">
        <v>104</v>
      </c>
    </row>
    <row r="17" customFormat="false" ht="68.65" hidden="false" customHeight="false" outlineLevel="0" collapsed="false">
      <c r="A17" s="6" t="s">
        <v>166</v>
      </c>
      <c r="B17" s="7" t="s">
        <v>167</v>
      </c>
      <c r="C17" s="7" t="n">
        <v>30</v>
      </c>
      <c r="D17" s="7" t="n">
        <v>2</v>
      </c>
      <c r="E17" s="6" t="s">
        <v>143</v>
      </c>
      <c r="F17" s="6" t="s">
        <v>144</v>
      </c>
      <c r="G17" s="6" t="s">
        <v>145</v>
      </c>
      <c r="H17" s="7"/>
      <c r="I17" s="7" t="s">
        <v>168</v>
      </c>
      <c r="J17" s="7" t="s">
        <v>169</v>
      </c>
      <c r="K17" s="6" t="s">
        <v>104</v>
      </c>
    </row>
    <row r="18" customFormat="false" ht="79.85" hidden="false" customHeight="false" outlineLevel="0" collapsed="false">
      <c r="A18" s="6" t="s">
        <v>170</v>
      </c>
      <c r="B18" s="7" t="s">
        <v>171</v>
      </c>
      <c r="C18" s="7" t="n">
        <v>30</v>
      </c>
      <c r="D18" s="7" t="n">
        <v>2</v>
      </c>
      <c r="E18" s="6" t="s">
        <v>143</v>
      </c>
      <c r="F18" s="6" t="s">
        <v>144</v>
      </c>
      <c r="G18" s="6" t="s">
        <v>145</v>
      </c>
      <c r="H18" s="7" t="s">
        <v>172</v>
      </c>
      <c r="I18" s="7" t="s">
        <v>173</v>
      </c>
      <c r="J18" s="7" t="s">
        <v>174</v>
      </c>
      <c r="K18" s="6" t="s">
        <v>104</v>
      </c>
    </row>
    <row r="19" customFormat="false" ht="79.85" hidden="false" customHeight="false" outlineLevel="0" collapsed="false">
      <c r="A19" s="6" t="s">
        <v>175</v>
      </c>
      <c r="B19" s="7" t="s">
        <v>176</v>
      </c>
      <c r="C19" s="7" t="n">
        <v>45</v>
      </c>
      <c r="D19" s="7" t="n">
        <v>3</v>
      </c>
      <c r="E19" s="6" t="s">
        <v>143</v>
      </c>
      <c r="F19" s="6" t="s">
        <v>144</v>
      </c>
      <c r="G19" s="6" t="s">
        <v>145</v>
      </c>
      <c r="H19" s="7" t="s">
        <v>177</v>
      </c>
      <c r="I19" s="7" t="s">
        <v>178</v>
      </c>
      <c r="J19" s="7" t="s">
        <v>179</v>
      </c>
      <c r="K19" s="6" t="s">
        <v>104</v>
      </c>
    </row>
    <row r="20" customFormat="false" ht="113.4" hidden="false" customHeight="false" outlineLevel="0" collapsed="false">
      <c r="A20" s="6" t="s">
        <v>180</v>
      </c>
      <c r="B20" s="7" t="s">
        <v>181</v>
      </c>
      <c r="C20" s="7" t="n">
        <v>30</v>
      </c>
      <c r="D20" s="7" t="n">
        <v>2</v>
      </c>
      <c r="E20" s="6" t="s">
        <v>143</v>
      </c>
      <c r="F20" s="6" t="s">
        <v>144</v>
      </c>
      <c r="G20" s="6" t="s">
        <v>145</v>
      </c>
      <c r="H20" s="7" t="s">
        <v>182</v>
      </c>
      <c r="I20" s="7" t="s">
        <v>183</v>
      </c>
      <c r="J20" s="7" t="s">
        <v>184</v>
      </c>
      <c r="K20" s="6" t="s">
        <v>104</v>
      </c>
    </row>
    <row r="21" customFormat="false" ht="46.25" hidden="false" customHeight="false" outlineLevel="0" collapsed="false">
      <c r="A21" s="6" t="s">
        <v>185</v>
      </c>
      <c r="B21" s="7" t="s">
        <v>186</v>
      </c>
      <c r="C21" s="7" t="n">
        <v>45</v>
      </c>
      <c r="D21" s="7" t="n">
        <v>3</v>
      </c>
      <c r="E21" s="6" t="s">
        <v>143</v>
      </c>
      <c r="F21" s="6" t="s">
        <v>144</v>
      </c>
      <c r="G21" s="6" t="s">
        <v>145</v>
      </c>
      <c r="H21" s="7" t="s">
        <v>72</v>
      </c>
      <c r="I21" s="7" t="s">
        <v>187</v>
      </c>
      <c r="J21" s="7" t="s">
        <v>188</v>
      </c>
      <c r="K21" s="6" t="s">
        <v>104</v>
      </c>
    </row>
    <row r="22" customFormat="false" ht="68.65" hidden="false" customHeight="false" outlineLevel="0" collapsed="false">
      <c r="A22" s="6" t="s">
        <v>189</v>
      </c>
      <c r="B22" s="7" t="s">
        <v>190</v>
      </c>
      <c r="C22" s="7" t="n">
        <v>45</v>
      </c>
      <c r="D22" s="7" t="n">
        <v>3</v>
      </c>
      <c r="E22" s="6" t="s">
        <v>143</v>
      </c>
      <c r="F22" s="6" t="s">
        <v>144</v>
      </c>
      <c r="G22" s="6" t="s">
        <v>145</v>
      </c>
      <c r="H22" s="7"/>
      <c r="I22" s="7" t="s">
        <v>191</v>
      </c>
      <c r="J22" s="7" t="s">
        <v>192</v>
      </c>
      <c r="K22" s="6" t="s">
        <v>104</v>
      </c>
    </row>
    <row r="23" customFormat="false" ht="79.85" hidden="false" customHeight="false" outlineLevel="0" collapsed="false">
      <c r="A23" s="6" t="s">
        <v>193</v>
      </c>
      <c r="B23" s="7" t="s">
        <v>194</v>
      </c>
      <c r="C23" s="7" t="n">
        <v>45</v>
      </c>
      <c r="D23" s="7" t="n">
        <v>3</v>
      </c>
      <c r="E23" s="6" t="s">
        <v>143</v>
      </c>
      <c r="F23" s="6" t="s">
        <v>144</v>
      </c>
      <c r="G23" s="6" t="s">
        <v>145</v>
      </c>
      <c r="H23" s="7" t="s">
        <v>195</v>
      </c>
      <c r="I23" s="7" t="s">
        <v>196</v>
      </c>
      <c r="J23" s="7" t="s">
        <v>197</v>
      </c>
      <c r="K23" s="6" t="s">
        <v>104</v>
      </c>
    </row>
    <row r="24" customFormat="false" ht="147" hidden="false" customHeight="false" outlineLevel="0" collapsed="false">
      <c r="A24" s="6" t="s">
        <v>198</v>
      </c>
      <c r="B24" s="7" t="s">
        <v>199</v>
      </c>
      <c r="C24" s="7" t="n">
        <v>45</v>
      </c>
      <c r="D24" s="7" t="n">
        <v>3</v>
      </c>
      <c r="E24" s="6" t="s">
        <v>200</v>
      </c>
      <c r="F24" s="6" t="s">
        <v>144</v>
      </c>
      <c r="G24" s="6" t="s">
        <v>201</v>
      </c>
      <c r="H24" s="7" t="s">
        <v>50</v>
      </c>
      <c r="I24" s="7" t="s">
        <v>202</v>
      </c>
      <c r="J24" s="7" t="s">
        <v>203</v>
      </c>
      <c r="K24" s="6" t="s">
        <v>104</v>
      </c>
    </row>
    <row r="25" customFormat="false" ht="57.45" hidden="false" customHeight="false" outlineLevel="0" collapsed="false">
      <c r="A25" s="6" t="s">
        <v>204</v>
      </c>
      <c r="B25" s="7" t="s">
        <v>205</v>
      </c>
      <c r="C25" s="7" t="n">
        <v>45</v>
      </c>
      <c r="D25" s="7" t="n">
        <v>3</v>
      </c>
      <c r="E25" s="6" t="s">
        <v>200</v>
      </c>
      <c r="F25" s="6" t="s">
        <v>144</v>
      </c>
      <c r="G25" s="6" t="s">
        <v>201</v>
      </c>
      <c r="H25" s="7"/>
      <c r="I25" s="7" t="s">
        <v>206</v>
      </c>
      <c r="J25" s="7" t="s">
        <v>207</v>
      </c>
      <c r="K25" s="6" t="s">
        <v>104</v>
      </c>
    </row>
    <row r="26" customFormat="false" ht="102.2" hidden="false" customHeight="false" outlineLevel="0" collapsed="false">
      <c r="A26" s="6" t="s">
        <v>208</v>
      </c>
      <c r="B26" s="7" t="s">
        <v>209</v>
      </c>
      <c r="C26" s="7" t="n">
        <v>45</v>
      </c>
      <c r="D26" s="7" t="n">
        <v>3</v>
      </c>
      <c r="E26" s="6" t="s">
        <v>200</v>
      </c>
      <c r="F26" s="6" t="s">
        <v>144</v>
      </c>
      <c r="G26" s="6" t="s">
        <v>201</v>
      </c>
      <c r="H26" s="7"/>
      <c r="I26" s="7" t="s">
        <v>210</v>
      </c>
      <c r="J26" s="7" t="s">
        <v>211</v>
      </c>
      <c r="K26" s="6" t="s">
        <v>104</v>
      </c>
    </row>
    <row r="27" customFormat="false" ht="79.85" hidden="false" customHeight="false" outlineLevel="0" collapsed="false">
      <c r="A27" s="6" t="s">
        <v>212</v>
      </c>
      <c r="B27" s="7" t="s">
        <v>213</v>
      </c>
      <c r="C27" s="7" t="n">
        <v>30</v>
      </c>
      <c r="D27" s="7" t="n">
        <v>2</v>
      </c>
      <c r="E27" s="6" t="s">
        <v>200</v>
      </c>
      <c r="F27" s="6" t="s">
        <v>144</v>
      </c>
      <c r="G27" s="6" t="s">
        <v>201</v>
      </c>
      <c r="H27" s="7"/>
      <c r="I27" s="7" t="s">
        <v>214</v>
      </c>
      <c r="J27" s="7" t="s">
        <v>215</v>
      </c>
      <c r="K27" s="6" t="s">
        <v>104</v>
      </c>
    </row>
    <row r="28" customFormat="false" ht="79.85" hidden="false" customHeight="false" outlineLevel="0" collapsed="false">
      <c r="A28" s="6" t="s">
        <v>216</v>
      </c>
      <c r="B28" s="7" t="s">
        <v>217</v>
      </c>
      <c r="C28" s="7" t="n">
        <v>30</v>
      </c>
      <c r="D28" s="7" t="n">
        <v>2</v>
      </c>
      <c r="E28" s="6" t="s">
        <v>200</v>
      </c>
      <c r="F28" s="6" t="s">
        <v>144</v>
      </c>
      <c r="G28" s="6" t="s">
        <v>201</v>
      </c>
      <c r="H28" s="7"/>
      <c r="I28" s="7" t="s">
        <v>218</v>
      </c>
      <c r="J28" s="7" t="s">
        <v>215</v>
      </c>
      <c r="K28" s="6" t="s">
        <v>104</v>
      </c>
    </row>
    <row r="29" customFormat="false" ht="102.2" hidden="false" customHeight="false" outlineLevel="0" collapsed="false">
      <c r="A29" s="6" t="s">
        <v>219</v>
      </c>
      <c r="B29" s="7" t="s">
        <v>220</v>
      </c>
      <c r="C29" s="7" t="n">
        <v>45</v>
      </c>
      <c r="D29" s="7" t="n">
        <v>3</v>
      </c>
      <c r="E29" s="6" t="s">
        <v>200</v>
      </c>
      <c r="F29" s="6" t="s">
        <v>144</v>
      </c>
      <c r="G29" s="6" t="s">
        <v>201</v>
      </c>
      <c r="H29" s="7" t="s">
        <v>221</v>
      </c>
      <c r="I29" s="7" t="s">
        <v>222</v>
      </c>
      <c r="J29" s="7" t="s">
        <v>223</v>
      </c>
      <c r="K29" s="6" t="s">
        <v>104</v>
      </c>
    </row>
    <row r="30" customFormat="false" ht="113.4" hidden="false" customHeight="false" outlineLevel="0" collapsed="false">
      <c r="A30" s="6" t="s">
        <v>224</v>
      </c>
      <c r="B30" s="7" t="s">
        <v>225</v>
      </c>
      <c r="C30" s="7" t="n">
        <v>45</v>
      </c>
      <c r="D30" s="7" t="n">
        <v>3</v>
      </c>
      <c r="E30" s="6" t="s">
        <v>200</v>
      </c>
      <c r="F30" s="6" t="s">
        <v>144</v>
      </c>
      <c r="G30" s="6" t="s">
        <v>201</v>
      </c>
      <c r="H30" s="7" t="s">
        <v>226</v>
      </c>
      <c r="I30" s="7" t="s">
        <v>227</v>
      </c>
      <c r="J30" s="7" t="s">
        <v>228</v>
      </c>
      <c r="K30" s="6" t="s">
        <v>104</v>
      </c>
    </row>
    <row r="31" customFormat="false" ht="91" hidden="false" customHeight="false" outlineLevel="0" collapsed="false">
      <c r="A31" s="6" t="s">
        <v>229</v>
      </c>
      <c r="B31" s="7" t="s">
        <v>230</v>
      </c>
      <c r="C31" s="7" t="n">
        <v>45</v>
      </c>
      <c r="D31" s="7" t="n">
        <v>3</v>
      </c>
      <c r="E31" s="6" t="s">
        <v>231</v>
      </c>
      <c r="F31" s="6" t="s">
        <v>232</v>
      </c>
      <c r="G31" s="6" t="s">
        <v>233</v>
      </c>
      <c r="H31" s="7" t="s">
        <v>234</v>
      </c>
      <c r="I31" s="7" t="s">
        <v>235</v>
      </c>
      <c r="J31" s="7" t="s">
        <v>236</v>
      </c>
      <c r="K31" s="6" t="s">
        <v>104</v>
      </c>
    </row>
    <row r="32" customFormat="false" ht="135.8" hidden="false" customHeight="false" outlineLevel="0" collapsed="false">
      <c r="A32" s="6" t="s">
        <v>237</v>
      </c>
      <c r="B32" s="7" t="s">
        <v>238</v>
      </c>
      <c r="C32" s="7" t="n">
        <v>45</v>
      </c>
      <c r="D32" s="7" t="n">
        <v>3</v>
      </c>
      <c r="E32" s="6" t="s">
        <v>231</v>
      </c>
      <c r="F32" s="6" t="s">
        <v>232</v>
      </c>
      <c r="G32" s="6" t="s">
        <v>233</v>
      </c>
      <c r="H32" s="7" t="s">
        <v>239</v>
      </c>
      <c r="I32" s="7" t="s">
        <v>240</v>
      </c>
      <c r="J32" s="7" t="s">
        <v>241</v>
      </c>
      <c r="K32" s="6" t="s">
        <v>104</v>
      </c>
    </row>
    <row r="33" customFormat="false" ht="113.4" hidden="false" customHeight="false" outlineLevel="0" collapsed="false">
      <c r="A33" s="6" t="s">
        <v>242</v>
      </c>
      <c r="B33" s="7" t="s">
        <v>243</v>
      </c>
      <c r="C33" s="7" t="n">
        <v>45</v>
      </c>
      <c r="D33" s="7" t="n">
        <v>3</v>
      </c>
      <c r="E33" s="6" t="s">
        <v>231</v>
      </c>
      <c r="F33" s="6" t="s">
        <v>232</v>
      </c>
      <c r="G33" s="6" t="s">
        <v>233</v>
      </c>
      <c r="H33" s="7" t="s">
        <v>244</v>
      </c>
      <c r="I33" s="7" t="s">
        <v>245</v>
      </c>
      <c r="J33" s="7" t="s">
        <v>246</v>
      </c>
      <c r="K33" s="6" t="s">
        <v>104</v>
      </c>
    </row>
    <row r="34" customFormat="false" ht="91" hidden="false" customHeight="false" outlineLevel="0" collapsed="false">
      <c r="A34" s="6" t="s">
        <v>247</v>
      </c>
      <c r="B34" s="7" t="s">
        <v>248</v>
      </c>
      <c r="C34" s="7" t="n">
        <v>30</v>
      </c>
      <c r="D34" s="7" t="n">
        <v>2</v>
      </c>
      <c r="E34" s="6" t="s">
        <v>231</v>
      </c>
      <c r="F34" s="6" t="s">
        <v>232</v>
      </c>
      <c r="G34" s="6" t="s">
        <v>233</v>
      </c>
      <c r="H34" s="7"/>
      <c r="I34" s="7" t="s">
        <v>249</v>
      </c>
      <c r="J34" s="7" t="s">
        <v>250</v>
      </c>
      <c r="K34" s="6" t="s">
        <v>104</v>
      </c>
    </row>
    <row r="35" customFormat="false" ht="57.45" hidden="false" customHeight="false" outlineLevel="0" collapsed="false">
      <c r="A35" s="6" t="s">
        <v>251</v>
      </c>
      <c r="B35" s="7" t="s">
        <v>252</v>
      </c>
      <c r="C35" s="7" t="n">
        <v>45</v>
      </c>
      <c r="D35" s="7" t="n">
        <v>3</v>
      </c>
      <c r="E35" s="6" t="s">
        <v>253</v>
      </c>
      <c r="F35" s="6" t="s">
        <v>232</v>
      </c>
      <c r="G35" s="6" t="s">
        <v>254</v>
      </c>
      <c r="H35" s="7" t="s">
        <v>255</v>
      </c>
      <c r="I35" s="7" t="s">
        <v>256</v>
      </c>
      <c r="J35" s="7" t="s">
        <v>257</v>
      </c>
      <c r="K35" s="6" t="s">
        <v>104</v>
      </c>
    </row>
    <row r="36" customFormat="false" ht="135.8" hidden="false" customHeight="false" outlineLevel="0" collapsed="false">
      <c r="A36" s="6" t="s">
        <v>258</v>
      </c>
      <c r="B36" s="7" t="s">
        <v>259</v>
      </c>
      <c r="C36" s="7" t="n">
        <v>30</v>
      </c>
      <c r="D36" s="7" t="n">
        <v>2</v>
      </c>
      <c r="E36" s="6" t="s">
        <v>253</v>
      </c>
      <c r="F36" s="6" t="s">
        <v>232</v>
      </c>
      <c r="G36" s="6" t="s">
        <v>254</v>
      </c>
      <c r="H36" s="7" t="s">
        <v>260</v>
      </c>
      <c r="I36" s="7" t="s">
        <v>261</v>
      </c>
      <c r="J36" s="7" t="s">
        <v>262</v>
      </c>
      <c r="K36" s="6" t="s">
        <v>104</v>
      </c>
    </row>
    <row r="37" customFormat="false" ht="91" hidden="false" customHeight="false" outlineLevel="0" collapsed="false">
      <c r="A37" s="6" t="s">
        <v>263</v>
      </c>
      <c r="B37" s="7" t="s">
        <v>264</v>
      </c>
      <c r="C37" s="7" t="n">
        <v>30</v>
      </c>
      <c r="D37" s="7" t="n">
        <v>2</v>
      </c>
      <c r="E37" s="6" t="s">
        <v>253</v>
      </c>
      <c r="F37" s="6" t="s">
        <v>232</v>
      </c>
      <c r="G37" s="6" t="s">
        <v>254</v>
      </c>
      <c r="H37" s="7" t="s">
        <v>265</v>
      </c>
      <c r="I37" s="7" t="s">
        <v>266</v>
      </c>
      <c r="J37" s="7" t="s">
        <v>267</v>
      </c>
      <c r="K37" s="6" t="s">
        <v>104</v>
      </c>
    </row>
    <row r="38" customFormat="false" ht="169.4" hidden="false" customHeight="false" outlineLevel="0" collapsed="false">
      <c r="A38" s="6" t="s">
        <v>268</v>
      </c>
      <c r="B38" s="7" t="s">
        <v>269</v>
      </c>
      <c r="C38" s="7" t="n">
        <v>30</v>
      </c>
      <c r="D38" s="7" t="n">
        <v>2</v>
      </c>
      <c r="E38" s="6" t="s">
        <v>253</v>
      </c>
      <c r="F38" s="6" t="s">
        <v>232</v>
      </c>
      <c r="G38" s="6" t="s">
        <v>254</v>
      </c>
      <c r="H38" s="7" t="s">
        <v>270</v>
      </c>
      <c r="I38" s="7" t="s">
        <v>271</v>
      </c>
      <c r="J38" s="7" t="s">
        <v>272</v>
      </c>
      <c r="K38" s="6" t="s">
        <v>104</v>
      </c>
    </row>
    <row r="39" customFormat="false" ht="79.85" hidden="false" customHeight="false" outlineLevel="0" collapsed="false">
      <c r="A39" s="6" t="s">
        <v>273</v>
      </c>
      <c r="B39" s="7" t="s">
        <v>176</v>
      </c>
      <c r="C39" s="7" t="n">
        <v>45</v>
      </c>
      <c r="D39" s="7" t="n">
        <v>3</v>
      </c>
      <c r="E39" s="6" t="s">
        <v>253</v>
      </c>
      <c r="F39" s="6" t="s">
        <v>232</v>
      </c>
      <c r="G39" s="6" t="s">
        <v>254</v>
      </c>
      <c r="H39" s="7" t="s">
        <v>177</v>
      </c>
      <c r="I39" s="7" t="s">
        <v>178</v>
      </c>
      <c r="J39" s="7" t="s">
        <v>179</v>
      </c>
      <c r="K39" s="6" t="s">
        <v>104</v>
      </c>
    </row>
    <row r="40" customFormat="false" ht="113.4" hidden="false" customHeight="false" outlineLevel="0" collapsed="false">
      <c r="A40" s="6" t="s">
        <v>274</v>
      </c>
      <c r="B40" s="7" t="s">
        <v>181</v>
      </c>
      <c r="C40" s="7" t="n">
        <v>30</v>
      </c>
      <c r="D40" s="7" t="n">
        <v>2</v>
      </c>
      <c r="E40" s="6" t="s">
        <v>253</v>
      </c>
      <c r="F40" s="6" t="s">
        <v>232</v>
      </c>
      <c r="G40" s="6" t="s">
        <v>254</v>
      </c>
      <c r="H40" s="7" t="s">
        <v>182</v>
      </c>
      <c r="I40" s="7" t="s">
        <v>183</v>
      </c>
      <c r="J40" s="7" t="s">
        <v>184</v>
      </c>
      <c r="K40" s="6" t="s">
        <v>104</v>
      </c>
    </row>
  </sheetData>
  <autoFilter ref="A1:K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2026-10-07T13:24:50Z</dcterms:created>
  <dc:creator>openpyxl</dc:creator>
  <dc:description/>
  <dc:language>en-US</dc:language>
  <cp:lastModifiedBy/>
  <dcterms:modified xsi:type="dcterms:W3CDTF">2026-10-07T13:24:50Z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